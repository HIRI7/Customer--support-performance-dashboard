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https://d.docs.live.net/43876654085fa34b/Documents/"/>
    </mc:Choice>
  </mc:AlternateContent>
  <xr:revisionPtr revIDLastSave="0" documentId="8_{4E8478D8-E7FF-44B4-9B11-39FA6FA130F6}" xr6:coauthVersionLast="47" xr6:coauthVersionMax="47" xr10:uidLastSave="{00000000-0000-0000-0000-000000000000}"/>
  <bookViews>
    <workbookView xWindow="-110" yWindow="-110" windowWidth="19420" windowHeight="10300" activeTab="3" xr2:uid="{26D4546B-D2A1-4444-8EAF-A6228F96F0C1}"/>
  </bookViews>
  <sheets>
    <sheet name="Assets" sheetId="4" r:id="rId1"/>
    <sheet name="Data" sheetId="2" r:id="rId2"/>
    <sheet name="Pivots " sheetId="6" r:id="rId3"/>
    <sheet name="Dashboard" sheetId="8"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6" i="6" l="1"/>
  <c r="W31" i="8" s="1"/>
  <c r="K67" i="6"/>
  <c r="K69" i="6" s="1"/>
  <c r="M68" i="6" s="1"/>
  <c r="W37" i="8" s="1"/>
  <c r="K66" i="6"/>
  <c r="K68" i="6" s="1"/>
  <c r="M67" i="6" s="1"/>
  <c r="W36" i="8" s="1"/>
  <c r="K65" i="6"/>
  <c r="M66" i="6" s="1"/>
  <c r="W35" i="8" s="1"/>
  <c r="Z20" i="8" a="1"/>
  <c r="Z20" i="8" s="1"/>
  <c r="Y21" i="8" a="1"/>
  <c r="Y21" i="8" s="1"/>
  <c r="K58" i="6"/>
  <c r="P59" i="6" s="1"/>
  <c r="L58" i="6" a="1"/>
  <c r="L5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O58" i="6" l="1"/>
  <c r="O62" i="6"/>
  <c r="O61" i="6"/>
  <c r="O60" i="6"/>
  <c r="O59" i="6"/>
  <c r="P58" i="6"/>
  <c r="P62" i="6"/>
  <c r="P61" i="6"/>
  <c r="P6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84092B-CF40-47B6-B963-4AA97F1082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4F7CD9C-725A-4392-9ED1-82D06BCB3CA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8652CA23-D809-4AF4-864C-1AD442B803A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<sst xmlns="http://schemas.openxmlformats.org/spreadsheetml/2006/main" count="3166" uniqueCount="1082">
  <si>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</si>
  <si>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</si>
  <si>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</si>
  <si>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</si>
  <si>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</si>
  <si>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</si>
  <si>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</si>
  <si>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</si>
  <si>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</si>
  <si>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</si>
  <si>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</si>
  <si>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</si>
  <si>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</si>
  <si>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</si>
  <si>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</si>
  <si>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</si>
  <si>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</si>
  <si>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</si>
  <si>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</si>
  <si>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</si>
  <si>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</si>
  <si>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</si>
  <si>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</si>
  <si>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</si>
  <si>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</si>
  <si>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</si>
  <si>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</si>
  <si>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</si>
  <si>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</si>
  <si>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</si>
  <si>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</si>
  <si>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</si>
  <si>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</si>
  <si>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</si>
  <si>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</si>
  <si>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</si>
  <si>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</si>
  <si>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</si>
  <si>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</si>
  <si>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</si>
  <si>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</si>
  <si>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</si>
  <si>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</si>
  <si>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</si>
  <si>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</si>
  <si>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</si>
  <si>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</si>
  <si>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</si>
  <si>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</si>
  <si>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</si>
  <si>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</si>
  <si>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</si>
  <si>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</si>
  <si>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</si>
  <si>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</si>
  <si>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</si>
  <si>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</si>
  <si>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</si>
  <si>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</si>
  <si>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</si>
  <si>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</si>
  <si>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</si>
  <si>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</si>
  <si>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</si>
  <si>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</si>
  <si>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</si>
  <si>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</si>
  <si>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</si>
  <si>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</si>
  <si>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</si>
  <si>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</si>
  <si>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</si>
  <si>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</si>
  <si>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</si>
  <si>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</si>
  <si>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</si>
  <si>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</si>
  <si>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</si>
  <si>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</si>
  <si>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</si>
  <si>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</si>
  <si>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</si>
  <si>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</si>
  <si>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</si>
  <si>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</si>
  <si>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</si>
  <si>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</si>
  <si>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</si>
  <si>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</si>
  <si>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</si>
  <si>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</si>
  <si>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</si>
  <si>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</si>
  <si>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</si>
  <si>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</si>
  <si>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</si>
  <si>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</si>
  <si>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</si>
  <si>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</si>
  <si>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</si>
  <si>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</si>
  <si>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</si>
  <si>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</si>
  <si>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</si>
  <si>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</si>
  <si>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</si>
  <si>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</si>
  <si>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</si>
  <si>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</si>
  <si>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</si>
  <si>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</si>
  <si>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</si>
  <si>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</si>
  <si>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</si>
  <si>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</si>
  <si>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</si>
  <si>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</si>
  <si>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</si>
  <si>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</si>
  <si>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</si>
  <si>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</si>
  <si>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</si>
  <si>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</si>
  <si>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</si>
  <si>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</si>
  <si>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</si>
  <si>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</si>
  <si>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</si>
  <si>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</si>
  <si>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</si>
  <si>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</si>
  <si>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</si>
  <si>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</si>
  <si>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</si>
  <si>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</si>
  <si>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</si>
  <si>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</si>
  <si>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</si>
  <si>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</si>
  <si>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</si>
  <si>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</si>
  <si>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</si>
  <si>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</si>
  <si>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</si>
  <si>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</si>
  <si>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</si>
  <si>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</si>
  <si>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</si>
  <si>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</si>
  <si>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</si>
  <si>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</si>
  <si>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</si>
  <si>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</si>
  <si>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</si>
  <si>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</si>
  <si>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</si>
  <si>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</si>
  <si>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</si>
  <si>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</si>
  <si>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</si>
  <si>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</si>
  <si>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</si>
  <si>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</si>
  <si>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</si>
  <si>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</si>
  <si>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</si>
  <si>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</si>
  <si>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</si>
  <si>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</si>
  <si>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</si>
  <si>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</si>
  <si>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</si>
  <si>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</si>
  <si>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</si>
  <si>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</si>
  <si>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</si>
  <si>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</si>
  <si>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</si>
  <si>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</si>
  <si>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</si>
  <si>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</si>
  <si>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</si>
  <si>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</si>
  <si>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</si>
  <si>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</si>
  <si>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</si>
  <si>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</si>
  <si>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</si>
  <si>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</si>
  <si>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</si>
  <si>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</si>
  <si>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</si>
  <si>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</si>
  <si>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</si>
  <si>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</si>
  <si>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</si>
  <si>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</si>
  <si>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</si>
  <si>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</si>
  <si>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</si>
  <si>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</si>
  <si>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</si>
  <si>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</si>
  <si>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</si>
  <si>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</si>
  <si>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</si>
  <si>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</si>
  <si>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</si>
  <si>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</si>
  <si>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</si>
  <si>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</si>
  <si>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</si>
  <si>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</si>
  <si>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</si>
  <si>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</si>
  <si>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</si>
  <si>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</si>
  <si>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</si>
  <si>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</si>
  <si>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</si>
  <si>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</si>
  <si>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</si>
  <si>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</si>
  <si>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</si>
  <si>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</si>
  <si>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</si>
  <si>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</si>
  <si>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</si>
  <si>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</si>
  <si>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</si>
  <si>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</si>
  <si>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</si>
  <si>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</si>
  <si>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</si>
  <si>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</si>
  <si>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</si>
  <si>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</si>
  <si>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</si>
  <si>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</si>
  <si>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</si>
  <si>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</si>
  <si>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</si>
  <si>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</si>
  <si>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</si>
  <si>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</si>
  <si>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</si>
  <si>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</si>
  <si>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</si>
  <si>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</si>
  <si>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</si>
  <si>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</si>
  <si>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</si>
  <si>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</si>
  <si>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</si>
  <si>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</si>
  <si>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</si>
  <si>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</si>
  <si>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</si>
  <si>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</si>
  <si>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</si>
  <si>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</si>
  <si>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</si>
  <si>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</si>
  <si>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</si>
  <si>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</si>
  <si>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</si>
  <si>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</si>
  <si>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</si>
  <si>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</si>
  <si>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</si>
  <si>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</si>
  <si>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</si>
  <si>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</si>
  <si>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</si>
  <si>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</si>
  <si>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</si>
  <si>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</si>
  <si>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</si>
  <si>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</si>
  <si>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</si>
  <si>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</si>
  <si>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</si>
  <si>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</si>
  <si>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</si>
  <si>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</si>
  <si>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</si>
  <si>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</si>
  <si>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</si>
  <si>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</si>
  <si>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</si>
  <si>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</si>
  <si>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</si>
  <si>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</si>
  <si>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</si>
  <si>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</si>
  <si>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</si>
  <si>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</si>
  <si>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</si>
  <si>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</si>
  <si>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</si>
  <si>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</si>
  <si>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</si>
  <si>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</si>
  <si>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</si>
  <si>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</si>
  <si>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</si>
  <si>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</si>
  <si>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</si>
  <si>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</si>
  <si>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</si>
  <si>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</si>
  <si>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</si>
  <si>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</si>
  <si>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</si>
  <si>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</si>
  <si>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</si>
  <si>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</si>
  <si>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</si>
  <si>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</si>
  <si>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</si>
  <si>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</si>
  <si>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</si>
  <si>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</si>
  <si>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</si>
  <si>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</si>
  <si>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</si>
  <si>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</si>
  <si>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</si>
  <si>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</si>
  <si>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</si>
  <si>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</si>
  <si>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</si>
  <si>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</si>
  <si>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</si>
  <si>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</si>
  <si>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</si>
  <si>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</si>
  <si>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</si>
  <si>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</si>
  <si>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</si>
  <si>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</si>
  <si>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</si>
  <si>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</si>
  <si>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</si>
  <si>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</si>
  <si>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</si>
  <si>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</si>
  <si>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</si>
  <si>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</si>
  <si>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</si>
  <si>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</si>
  <si>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</si>
  <si>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</si>
  <si>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</si>
  <si>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</si>
  <si>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</si>
  <si>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</si>
  <si>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</si>
  <si>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</si>
  <si>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</si>
  <si>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</si>
  <si>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</si>
  <si>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</si>
  <si>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</si>
  <si>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</si>
  <si>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</si>
  <si>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</si>
  <si>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</si>
  <si>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</si>
  <si>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</si>
  <si>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</si>
  <si>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</si>
  <si>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</si>
  <si>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</si>
  <si>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</si>
  <si>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</si>
  <si>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</si>
  <si>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</si>
  <si>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</si>
  <si>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</si>
  <si>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</si>
  <si>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</si>
  <si>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</si>
  <si>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</si>
  <si>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</si>
  <si>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</si>
  <si>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</si>
  <si>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</si>
  <si>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</si>
  <si>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</si>
  <si>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</si>
  <si>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</si>
  <si>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</si>
  <si>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</si>
  <si>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</si>
  <si>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</si>
  <si>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</si>
  <si>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</si>
  <si>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</si>
  <si>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</si>
  <si>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</si>
  <si>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</si>
  <si>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</si>
  <si>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</si>
  <si>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</si>
  <si>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</si>
  <si>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</si>
  <si>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</si>
  <si>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</si>
  <si>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</si>
  <si>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</si>
  <si>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</si>
  <si>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</si>
  <si>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</si>
  <si>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</si>
  <si>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</si>
  <si>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</si>
  <si>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</si>
  <si>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</si>
  <si>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</si>
  <si>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</si>
  <si>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</si>
  <si>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</si>
  <si>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</si>
  <si>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</si>
  <si>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</si>
  <si>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</si>
  <si>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</si>
  <si>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</si>
  <si>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</si>
  <si>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</si>
  <si>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</si>
  <si>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</si>
  <si>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</si>
  <si>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</si>
  <si>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</si>
  <si>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</si>
  <si>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</si>
  <si>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</si>
  <si>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</si>
  <si>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</si>
  <si>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</si>
  <si>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</si>
  <si>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</si>
  <si>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</si>
  <si>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</si>
  <si>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</si>
  <si>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</si>
  <si>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</si>
  <si>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</si>
  <si>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</si>
  <si>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</si>
  <si>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</si>
  <si>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</si>
  <si>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</si>
  <si>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</si>
  <si>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</si>
  <si>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</si>
  <si>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</si>
  <si>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</si>
  <si>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</si>
  <si>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</si>
  <si>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</si>
  <si>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</si>
  <si>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</si>
  <si>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</si>
  <si>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</si>
  <si>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</si>
  <si>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</si>
  <si>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</si>
  <si>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</si>
  <si>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</si>
  <si>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</si>
  <si>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</si>
  <si>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</si>
  <si>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</si>
  <si>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</si>
  <si>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</si>
  <si>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</si>
  <si>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</si>
  <si>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</si>
  <si>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</si>
  <si>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</si>
  <si>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</si>
  <si>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</si>
  <si>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</si>
  <si>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</si>
  <si>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</si>
  <si>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</si>
  <si>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</si>
  <si>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</si>
  <si>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</si>
  <si>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</si>
  <si>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</si>
  <si>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</si>
  <si>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</si>
  <si>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</si>
  <si>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</si>
  <si>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</si>
  <si>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</si>
  <si>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</si>
  <si>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</si>
  <si>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</si>
  <si>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</si>
  <si>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</si>
  <si>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</si>
  <si>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</si>
  <si>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</si>
  <si>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</si>
  <si>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</si>
  <si>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</si>
  <si>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</si>
  <si>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</si>
  <si>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</si>
  <si>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</si>
  <si>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</si>
  <si>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</si>
  <si>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</si>
  <si>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</si>
  <si>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</si>
  <si>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</si>
  <si>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</si>
  <si>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</si>
  <si>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</si>
  <si>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</si>
  <si>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</si>
  <si>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</si>
  <si>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</si>
  <si>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</si>
  <si>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</si>
  <si>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</si>
  <si>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</si>
  <si>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</si>
  <si>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</si>
  <si>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</si>
  <si>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</si>
  <si>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</si>
  <si>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</si>
  <si>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</si>
  <si>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</si>
  <si>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</si>
  <si>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</si>
  <si>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</si>
  <si>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</si>
  <si>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</si>
  <si>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</si>
  <si>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</si>
  <si>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</si>
  <si>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</si>
  <si>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</si>
  <si>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</si>
  <si>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</si>
  <si>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</si>
  <si>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</si>
  <si>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</si>
  <si>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</si>
  <si>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</si>
  <si>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</si>
  <si>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</si>
  <si>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</si>
  <si>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</si>
  <si>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</si>
  <si>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</si>
  <si>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</si>
  <si>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</si>
  <si>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</si>
  <si>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</si>
  <si>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</si>
  <si>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</si>
  <si>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</si>
  <si>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</si>
  <si>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</si>
  <si>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</si>
  <si>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</si>
  <si>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</si>
  <si>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</si>
  <si>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</si>
  <si>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</si>
  <si>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</si>
  <si>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</si>
  <si>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</si>
  <si>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</si>
  <si>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</si>
  <si>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</si>
  <si>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</si>
  <si>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</si>
  <si>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</si>
  <si>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</si>
  <si>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</si>
  <si>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</si>
  <si>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</si>
  <si>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</si>
  <si>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</si>
  <si>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</si>
  <si>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</si>
  <si>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</si>
  <si>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</si>
  <si>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</si>
  <si>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</si>
  <si>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</si>
  <si>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</si>
  <si>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</si>
  <si>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</si>
  <si>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</si>
  <si>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</si>
  <si>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</si>
  <si>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</si>
  <si>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</si>
  <si>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</si>
  <si>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</si>
  <si>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</si>
  <si>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</si>
  <si>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</si>
  <si>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</si>
  <si>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</si>
  <si>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</si>
  <si>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</si>
  <si>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</si>
  <si>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</si>
  <si>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</si>
  <si>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</si>
  <si>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</si>
  <si>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</si>
  <si>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</si>
  <si>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</si>
  <si>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</si>
  <si>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</si>
  <si>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</si>
  <si>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</si>
  <si>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</si>
  <si>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</si>
  <si>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</si>
  <si>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</si>
  <si>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</si>
  <si>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</si>
  <si>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</si>
  <si>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</si>
  <si>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</si>
  <si>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</si>
  <si>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</si>
  <si>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</si>
  <si>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</si>
  <si>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</si>
  <si>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</si>
  <si>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</si>
  <si>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</si>
  <si>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</si>
  <si>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</si>
  <si>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</si>
  <si>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</si>
  <si>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</si>
  <si>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</si>
  <si>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</si>
  <si>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</si>
  <si>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</si>
  <si>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</si>
  <si>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</si>
  <si>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</si>
  <si>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</si>
  <si>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</si>
  <si>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</si>
  <si>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</si>
  <si>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</si>
  <si>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</si>
  <si>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</si>
  <si>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</si>
  <si>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</si>
  <si>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</si>
  <si>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</si>
  <si>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</si>
  <si>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</si>
  <si>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</si>
  <si>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</si>
  <si>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</si>
  <si>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</si>
  <si>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</si>
  <si>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</si>
  <si>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</si>
  <si>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</si>
  <si>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</si>
  <si>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</si>
  <si>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</si>
  <si>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</si>
  <si>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</si>
  <si>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</si>
  <si>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</si>
  <si>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</si>
  <si>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</si>
  <si>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</si>
  <si>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</si>
  <si>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</si>
  <si>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</si>
  <si>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</si>
  <si>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</si>
  <si>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</si>
  <si>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</si>
  <si>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</si>
  <si>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</si>
  <si>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</si>
  <si>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</si>
  <si>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</si>
  <si>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</si>
  <si>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</si>
  <si>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</si>
  <si>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</si>
  <si>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</si>
  <si>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</si>
  <si>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</si>
  <si>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</si>
  <si>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</si>
  <si>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</si>
  <si>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</si>
  <si>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</si>
  <si>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</si>
  <si>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</si>
  <si>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</si>
  <si>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</si>
  <si>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</si>
  <si>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</si>
  <si>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</si>
  <si>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</si>
  <si>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</si>
  <si>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</si>
  <si>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</si>
  <si>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</si>
  <si>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</si>
  <si>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</si>
  <si>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</si>
  <si>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</si>
  <si>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</si>
  <si>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</si>
  <si>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</si>
  <si>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</si>
  <si>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</si>
  <si>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</si>
  <si>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</si>
  <si>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</si>
  <si>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</si>
  <si>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</si>
  <si>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</si>
  <si>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</si>
  <si>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</si>
  <si>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</si>
  <si>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</si>
  <si>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</si>
  <si>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</si>
  <si>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</si>
  <si>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</si>
  <si>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</si>
  <si>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</si>
  <si>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</si>
  <si>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</si>
  <si>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</si>
  <si>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</si>
  <si>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</si>
  <si>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</si>
  <si>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</si>
  <si>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</si>
  <si>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</si>
  <si>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</si>
  <si>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</si>
  <si>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</si>
  <si>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</si>
  <si>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</si>
  <si>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</si>
  <si>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</si>
  <si>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</si>
  <si>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</si>
  <si>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</si>
  <si>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</si>
  <si>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</si>
  <si>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</si>
  <si>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</si>
  <si>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</si>
  <si>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</si>
  <si>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</si>
  <si>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</si>
  <si>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</si>
  <si>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</si>
  <si>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</si>
  <si>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</si>
  <si>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</si>
  <si>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</si>
  <si>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</si>
  <si>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</si>
  <si>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</si>
  <si>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</si>
  <si>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</si>
  <si>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</si>
  <si>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</si>
  <si>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</si>
  <si>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</si>
  <si>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</si>
  <si>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</si>
  <si>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</si>
  <si>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</si>
  <si>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</si>
  <si>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</si>
  <si>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</si>
  <si>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</si>
  <si>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</si>
  <si>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</si>
  <si>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</si>
  <si>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</si>
  <si>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</si>
  <si>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</si>
  <si>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</si>
  <si>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</si>
  <si>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</si>
  <si>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</si>
  <si>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</si>
  <si>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</si>
  <si>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</si>
  <si>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</si>
  <si>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</si>
  <si>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</si>
  <si>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</si>
  <si>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</si>
  <si>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</si>
  <si>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</si>
  <si>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</si>
  <si>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</si>
  <si>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</si>
  <si>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</si>
  <si>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</si>
  <si>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</si>
  <si>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</si>
  <si>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</si>
  <si>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</si>
  <si>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</si>
  <si>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</si>
  <si>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</si>
  <si>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</si>
  <si>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</si>
  <si>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</si>
  <si>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</si>
  <si>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</si>
  <si>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</si>
  <si>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</si>
  <si>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</si>
  <si>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</si>
  <si>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</si>
  <si>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</si>
  <si>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</si>
  <si>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</si>
  <si>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</si>
  <si>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</si>
  <si>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</si>
  <si>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</si>
  <si>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</si>
  <si>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</si>
  <si>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</si>
  <si>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</si>
  <si>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</si>
  <si>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</si>
  <si>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</si>
  <si>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</si>
  <si>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</si>
  <si>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</si>
  <si>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</si>
  <si>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</si>
  <si>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</si>
  <si>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</si>
  <si>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</si>
  <si>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</si>
  <si>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</si>
  <si>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</si>
  <si>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</si>
  <si>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</si>
  <si>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</si>
  <si>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</si>
  <si>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</si>
  <si>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</si>
  <si>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</si>
  <si>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</si>
  <si>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</si>
  <si>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</si>
  <si>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</si>
  <si>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</si>
  <si>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</si>
  <si>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</si>
  <si>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</si>
  <si>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</si>
  <si>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</si>
  <si>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</si>
  <si>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</si>
  <si>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</si>
  <si>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</si>
  <si>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</si>
  <si>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</si>
  <si>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</si>
  <si>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</si>
  <si>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</si>
  <si>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</si>
  <si>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</si>
  <si>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</si>
  <si>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</si>
  <si>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</si>
  <si>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</si>
  <si>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</si>
  <si>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</si>
  <si>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</si>
  <si>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</si>
  <si>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</si>
  <si>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</si>
  <si>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</si>
  <si>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</si>
  <si>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</si>
  <si>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</si>
  <si>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</si>
  <si>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</si>
  <si>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</si>
  <si>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</si>
  <si>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</si>
  <si>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</si>
  <si>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</si>
  <si>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</si>
  <si>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</si>
  <si>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</si>
  <si>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</si>
  <si>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</si>
  <si>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</si>
  <si>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</si>
  <si>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</si>
  <si>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</si>
  <si>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</si>
  <si>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</si>
  <si>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</si>
  <si>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</si>
  <si>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</si>
  <si>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</si>
  <si>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</si>
  <si>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</si>
  <si>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</si>
  <si>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</si>
  <si>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</si>
  <si>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</si>
  <si>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</si>
  <si>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</si>
  <si>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</si>
  <si>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</si>
  <si>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</si>
  <si>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</si>
  <si>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</si>
  <si>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</si>
  <si>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</si>
  <si>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</si>
  <si>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</si>
  <si>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</si>
  <si>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</si>
  <si>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</si>
  <si>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</si>
  <si>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</si>
  <si>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</si>
  <si>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</si>
  <si>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</si>
  <si>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</si>
  <si>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</si>
  <si>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</si>
  <si>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</si>
  <si>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</si>
  <si>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</si>
  <si>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</si>
  <si>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</si>
  <si>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</si>
  <si>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</si>
  <si>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</si>
  <si>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</si>
  <si>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</si>
  <si>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</si>
  <si>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</si>
  <si>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</si>
  <si>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</si>
  <si>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</si>
  <si>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</si>
  <si>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</si>
  <si>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</si>
  <si>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</si>
  <si>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</si>
  <si>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</si>
  <si>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</si>
  <si>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</si>
  <si>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</si>
  <si>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</si>
  <si>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</si>
  <si>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</si>
  <si>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</si>
  <si>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</si>
  <si>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</si>
  <si>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</si>
  <si>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</si>
  <si>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</si>
  <si>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</si>
  <si>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</si>
  <si>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</si>
  <si>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</si>
  <si>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</si>
  <si>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</si>
  <si>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</si>
  <si>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</si>
  <si>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</si>
  <si>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</si>
  <si>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</si>
  <si>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</si>
  <si>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</si>
  <si>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</si>
  <si>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</si>
  <si>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</si>
  <si>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</si>
  <si>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</si>
  <si>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</si>
  <si>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</si>
  <si>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</si>
  <si>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</si>
  <si>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</si>
  <si>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</si>
  <si>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</si>
  <si>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</si>
  <si>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</si>
  <si>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</si>
  <si>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</si>
  <si>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</si>
  <si>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</si>
  <si>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</si>
  <si>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</si>
  <si>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</si>
  <si>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</si>
  <si>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</si>
  <si>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</si>
  <si>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</si>
  <si>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</si>
  <si>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</si>
  <si>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</si>
  <si>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</si>
  <si>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</si>
  <si>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</si>
  <si>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</si>
  <si>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</si>
  <si>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</si>
  <si>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</si>
  <si>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</si>
  <si>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</si>
  <si>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</si>
  <si>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</si>
  <si>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</si>
  <si>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</si>
  <si>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</si>
  <si>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</si>
  <si>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</si>
  <si>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</si>
  <si>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</si>
  <si>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</si>
  <si>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</si>
  <si>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</si>
  <si>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</si>
  <si>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</si>
  <si>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</si>
  <si>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</si>
  <si>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</si>
  <si>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</si>
  <si>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</si>
  <si>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</si>
  <si>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Monday</t>
  </si>
  <si>
    <t>Wednesday</t>
  </si>
  <si>
    <t>Thursday</t>
  </si>
  <si>
    <t>Sunday</t>
  </si>
  <si>
    <t>Tuesday</t>
  </si>
  <si>
    <t>Friday</t>
  </si>
  <si>
    <t>Saturday</t>
  </si>
  <si>
    <t>Sum of Purchase Amount</t>
  </si>
  <si>
    <t>REP2</t>
  </si>
  <si>
    <t>sel. Calls</t>
  </si>
  <si>
    <t>sel.amount</t>
  </si>
  <si>
    <t>Column Labels</t>
  </si>
  <si>
    <t>Total</t>
  </si>
  <si>
    <t>rep summary</t>
  </si>
  <si>
    <t xml:space="preserve">% of calls </t>
  </si>
  <si>
    <t>calls</t>
  </si>
  <si>
    <t>amount</t>
  </si>
  <si>
    <t xml:space="preserve">call rank </t>
  </si>
  <si>
    <t>amount rank</t>
  </si>
  <si>
    <t xml:space="preserve">Call Centre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</si>
</sst>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quot;k&quot;"/>
    <numFmt numFmtId="166" formatCode="_-[$$-409]* #,##0.00_ ;_-[$$-409]* \-#,##0.00\ ;_-[$$-409]* &quot;-&quot;??_ ;_-@_ "/>
    <numFmt numFmtId="167" formatCode="_-[$$-409]* #,##0_ ;_-[$$-409]* \-#,##0\ ;_-[$$-409]* &quot;-&quot;??_ ;_-@_ "/>
    <numFmt numFmtId="168" formatCode="&quot;₹&quot;\ #,##0"/>
  </numFmts>
  <fonts count="11"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1"/>
      <color theme="0"/>
      <name val="Calibri"/>
      <family val="2"/>
      <scheme val="minor"/>
    </font>
    <font>
      <sz val="11"/>
      <color theme="1"/>
      <name val="Calibri"/>
      <family val="2"/>
      <scheme val="minor"/>
    </font>
    <font>
      <sz val="10"/>
      <color rgb="FF002060"/>
      <name val="Berlin Sans FB Demi"/>
      <family val="2"/>
    </font>
    <font>
      <sz val="10"/>
      <color rgb="FF002060"/>
      <name val="Berlin Sans FB"/>
      <family val="2"/>
    </font>
    <font>
      <sz val="11"/>
      <color theme="1"/>
      <name val="Berlin Sans FB Demi"/>
      <family val="2"/>
    </font>
    <font>
      <sz val="11"/>
      <color rgb="FF002060"/>
      <name val="Berlin Sans FB Demi"/>
      <family val="2"/>
    </font>
    <font>
      <sz val="28"/>
      <color rgb="FF002060"/>
      <name val="Berlin Sans FB Demi"/>
      <family val="2"/>
    </font>
  </fonts>
  <fills count="4">
    <fill>
      <patternFill patternType="none"/>
    </fill>
    <fill>
      <patternFill patternType="gray125"/>
    </fill>
    <fill>
      <patternFill patternType="solid">
        <fgColor theme="7"/>
        <bgColor indexed="64"/>
      </patternFill>
    </fill>
    <fill>
      <patternFill patternType="solid">
        <fgColor theme="8"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s>
  <cellStyleXfs count="2">
    <xf numFmtId="0" fontId="0" fillId="0" borderId="0"/>
    <xf numFmtId="9" fontId="5"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0" fontId="0" fillId="0" borderId="0" xfId="0" pivotButton="1"/>
    <xf numFmtId="0" fontId="0" fillId="3" borderId="0" xfId="0" applyFill="1"/>
    <xf numFmtId="0" fontId="4" fillId="3" borderId="0" xfId="0" applyFont="1" applyFill="1"/>
    <xf numFmtId="0" fontId="0" fillId="0" borderId="0" xfId="0" applyAlignment="1">
      <alignment horizontal="left"/>
    </xf>
    <xf numFmtId="165"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166" fontId="0" fillId="0" borderId="0" xfId="0" applyNumberFormat="1" applyAlignment="1">
      <alignment horizontal="left" indent="1"/>
    </xf>
    <xf numFmtId="167" fontId="0" fillId="0" borderId="0" xfId="0" applyNumberFormat="1"/>
    <xf numFmtId="0" fontId="6" fillId="3" borderId="0" xfId="0" applyFont="1" applyFill="1"/>
    <xf numFmtId="168" fontId="7" fillId="3" borderId="0" xfId="0" applyNumberFormat="1" applyFont="1" applyFill="1"/>
    <xf numFmtId="0" fontId="7" fillId="3" borderId="9" xfId="0" applyFont="1" applyFill="1" applyBorder="1"/>
    <xf numFmtId="0" fontId="7" fillId="3" borderId="11" xfId="0" applyFont="1" applyFill="1" applyBorder="1"/>
    <xf numFmtId="168" fontId="7" fillId="3" borderId="13" xfId="0" applyNumberFormat="1" applyFont="1" applyFill="1" applyBorder="1"/>
    <xf numFmtId="0" fontId="7" fillId="3" borderId="6" xfId="0" applyFont="1" applyFill="1" applyBorder="1"/>
    <xf numFmtId="168" fontId="7" fillId="3" borderId="12" xfId="0" applyNumberFormat="1" applyFont="1" applyFill="1" applyBorder="1"/>
    <xf numFmtId="168" fontId="7" fillId="3" borderId="4" xfId="0" applyNumberFormat="1" applyFont="1" applyFill="1" applyBorder="1"/>
    <xf numFmtId="0" fontId="6" fillId="3" borderId="10" xfId="0" applyFont="1" applyFill="1" applyBorder="1"/>
    <xf numFmtId="0" fontId="6" fillId="3" borderId="7" xfId="0" applyFont="1" applyFill="1" applyBorder="1"/>
    <xf numFmtId="0" fontId="6" fillId="3" borderId="13" xfId="0" applyFont="1" applyFill="1" applyBorder="1"/>
    <xf numFmtId="0" fontId="6" fillId="3" borderId="11" xfId="0" applyFont="1" applyFill="1" applyBorder="1"/>
    <xf numFmtId="9" fontId="0" fillId="0" borderId="0" xfId="1" applyFont="1"/>
    <xf numFmtId="0" fontId="8" fillId="3" borderId="0" xfId="0" applyFont="1" applyFill="1"/>
    <xf numFmtId="0" fontId="9" fillId="3" borderId="0" xfId="0" applyFont="1" applyFill="1"/>
    <xf numFmtId="0" fontId="10" fillId="3" borderId="0" xfId="0" applyFont="1" applyFill="1"/>
    <xf numFmtId="0" fontId="0" fillId="3" borderId="0" xfId="0" applyFill="1" applyAlignment="1">
      <alignment horizontal="center"/>
    </xf>
  </cellXfs>
  <cellStyles count="2">
    <cellStyle name="Normal" xfId="0" builtinId="0"/>
    <cellStyle name="Percent" xfId="1" builtinId="5"/>
  </cellStyles>
  <dxfs count="32">
    <dxf>
      <fill>
        <patternFill>
          <bgColor theme="5" tint="0.59996337778862885"/>
        </patternFill>
      </fill>
      <border>
        <left style="thin">
          <color auto="1"/>
        </left>
        <right style="thin">
          <color auto="1"/>
        </right>
        <top style="thin">
          <color auto="1"/>
        </top>
        <bottom style="thin">
          <color auto="1"/>
        </bottom>
        <vertical/>
        <horizontal/>
      </border>
    </dxf>
    <dxf>
      <fill>
        <patternFill>
          <bgColor theme="5" tint="0.59996337778862885"/>
        </patternFill>
      </fill>
      <border>
        <left style="thin">
          <color auto="1"/>
        </left>
        <right style="thin">
          <color auto="1"/>
        </right>
        <top style="thin">
          <color auto="1"/>
        </top>
        <bottom style="thin">
          <color auto="1"/>
        </bottom>
        <vertical/>
        <horizontal/>
      </border>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1"/>
    </tableStyle>
  </tableStyles>
  <colors>
    <mruColors>
      <color rgb="FFDAE2E4"/>
      <color rgb="FFE2E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10/relationships/person" Target="persons/perso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excel dashboard.xlsx]Pivots !monthly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Berlin Sans FB Demi" panose="020E0802020502020306" pitchFamily="34" charset="0"/>
              </a:rPr>
              <a:t>Call</a:t>
            </a:r>
            <a:r>
              <a:rPr lang="en-IN" baseline="0">
                <a:solidFill>
                  <a:srgbClr val="002060"/>
                </a:solidFill>
                <a:latin typeface="Berlin Sans FB Demi" panose="020E0802020502020306" pitchFamily="34" charset="0"/>
              </a:rPr>
              <a:t> count per month</a:t>
            </a:r>
            <a:endParaRPr lang="en-IN">
              <a:solidFill>
                <a:srgbClr val="002060"/>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
                  <a:lumOff val="95000"/>
                </a:schemeClr>
              </a:gs>
              <a:gs pos="0">
                <a:schemeClr val="accent1">
                  <a:lumMod val="60000"/>
                  <a:lumOff val="40000"/>
                </a:schemeClr>
              </a:gs>
              <a:gs pos="95000">
                <a:schemeClr val="accent1">
                  <a:lumMod val="20000"/>
                  <a:lumOff val="80000"/>
                </a:schemeClr>
              </a:gs>
              <a:gs pos="100000">
                <a:schemeClr val="accent1">
                  <a:lumMod val="30000"/>
                  <a:lumOff val="70000"/>
                </a:schemeClr>
              </a:gs>
            </a:gsLst>
            <a:lin ang="5400000" scaled="1"/>
            <a:tileRect/>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0">
                <a:schemeClr val="accent1">
                  <a:lumMod val="60000"/>
                  <a:lumOff val="40000"/>
                </a:schemeClr>
              </a:gs>
              <a:gs pos="95000">
                <a:schemeClr val="accent1">
                  <a:lumMod val="20000"/>
                  <a:lumOff val="80000"/>
                </a:schemeClr>
              </a:gs>
              <a:gs pos="100000">
                <a:schemeClr val="accent1">
                  <a:lumMod val="30000"/>
                  <a:lumOff val="70000"/>
                </a:schemeClr>
              </a:gs>
            </a:gsLst>
            <a:lin ang="5400000" scaled="1"/>
            <a:tileRect/>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0">
                <a:schemeClr val="accent1">
                  <a:lumMod val="60000"/>
                  <a:lumOff val="40000"/>
                </a:schemeClr>
              </a:gs>
              <a:gs pos="95000">
                <a:schemeClr val="accent1">
                  <a:lumMod val="20000"/>
                  <a:lumOff val="80000"/>
                </a:schemeClr>
              </a:gs>
              <a:gs pos="100000">
                <a:schemeClr val="accent1">
                  <a:lumMod val="30000"/>
                  <a:lumOff val="70000"/>
                </a:schemeClr>
              </a:gs>
            </a:gsLst>
            <a:lin ang="5400000" scaled="1"/>
            <a:tileRect/>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 '!$C$22</c:f>
              <c:strCache>
                <c:ptCount val="1"/>
                <c:pt idx="0">
                  <c:v>Call count2</c:v>
                </c:pt>
              </c:strCache>
            </c:strRef>
          </c:tx>
          <c:spPr>
            <a:gradFill flip="none" rotWithShape="1">
              <a:gsLst>
                <a:gs pos="0">
                  <a:schemeClr val="accent1">
                    <a:lumMod val="5000"/>
                    <a:lumOff val="95000"/>
                  </a:schemeClr>
                </a:gs>
                <a:gs pos="0">
                  <a:schemeClr val="accent1">
                    <a:lumMod val="60000"/>
                    <a:lumOff val="40000"/>
                  </a:schemeClr>
                </a:gs>
                <a:gs pos="95000">
                  <a:schemeClr val="accent1">
                    <a:lumMod val="20000"/>
                    <a:lumOff val="80000"/>
                  </a:schemeClr>
                </a:gs>
                <a:gs pos="100000">
                  <a:schemeClr val="accent1">
                    <a:lumMod val="30000"/>
                    <a:lumOff val="70000"/>
                  </a:schemeClr>
                </a:gs>
              </a:gsLst>
              <a:lin ang="5400000" scaled="1"/>
              <a:tileRect/>
            </a:gradFill>
            <a:ln>
              <a:solidFill>
                <a:schemeClr val="accent1">
                  <a:lumMod val="60000"/>
                  <a:lumOff val="40000"/>
                </a:schemeClr>
              </a:solidFill>
            </a:ln>
            <a:effectLst/>
          </c:spPr>
          <c:cat>
            <c:strRef>
              <c:f>'Pivots '!$A$23:$A$35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'!$C$23:$C$35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A0A5-4AD6-9A34-9D89B4D4ECA8}"/>
            </c:ext>
          </c:extLst>
        </c:ser>
        <c:dLbls>
          <c:showLegendKey val="0"/>
          <c:showVal val="0"/>
          <c:showCatName val="0"/>
          <c:showSerName val="0"/>
          <c:showPercent val="0"/>
          <c:showBubbleSize val="0"/>
        </c:dLbls>
        <c:axId val="582665295"/>
        <c:axId val="582665775"/>
      </c:areaChart>
      <c:lineChart>
        <c:grouping val="standard"/>
        <c:varyColors val="0"/>
        <c:ser>
          <c:idx val="0"/>
          <c:order val="0"/>
          <c:tx>
            <c:strRef>
              <c:f>'Pivots '!$B$22</c:f>
              <c:strCache>
                <c:ptCount val="1"/>
                <c:pt idx="0">
                  <c:v>Call count</c:v>
                </c:pt>
              </c:strCache>
            </c:strRef>
          </c:tx>
          <c:spPr>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cat>
            <c:strRef>
              <c:f>'Pivots '!$A$23:$A$35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'!$B$23:$B$35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A0A5-4AD6-9A34-9D89B4D4ECA8}"/>
            </c:ext>
          </c:extLst>
        </c:ser>
        <c:dLbls>
          <c:showLegendKey val="0"/>
          <c:showVal val="0"/>
          <c:showCatName val="0"/>
          <c:showSerName val="0"/>
          <c:showPercent val="0"/>
          <c:showBubbleSize val="0"/>
        </c:dLbls>
        <c:marker val="1"/>
        <c:smooth val="0"/>
        <c:axId val="582665295"/>
        <c:axId val="582665775"/>
      </c:lineChart>
      <c:catAx>
        <c:axId val="58266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5775"/>
        <c:crosses val="autoZero"/>
        <c:auto val="1"/>
        <c:lblAlgn val="ctr"/>
        <c:lblOffset val="100"/>
        <c:noMultiLvlLbl val="0"/>
      </c:catAx>
      <c:valAx>
        <c:axId val="582665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5295"/>
        <c:crosses val="autoZero"/>
        <c:crossBetween val="between"/>
      </c:valAx>
      <c:spPr>
        <a:noFill/>
        <a:ln>
          <a:solidFill>
            <a:schemeClr val="accent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excel dashboard.xlsx]Pivots !daily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latin typeface="Berlin Sans FB Demi" panose="020E0802020502020306" pitchFamily="34" charset="0"/>
              </a:rPr>
              <a:t>Calls</a:t>
            </a:r>
            <a:r>
              <a:rPr lang="en-US" baseline="0">
                <a:solidFill>
                  <a:srgbClr val="002060"/>
                </a:solidFill>
                <a:latin typeface="Berlin Sans FB Demi" panose="020E0802020502020306" pitchFamily="34" charset="0"/>
              </a:rPr>
              <a:t> per day</a:t>
            </a:r>
            <a:endParaRPr lang="en-US">
              <a:solidFill>
                <a:srgbClr val="002060"/>
              </a:solidFill>
              <a:latin typeface="Berlin Sans FB Demi" panose="020E0802020502020306" pitchFamily="34" charset="0"/>
            </a:endParaRPr>
          </a:p>
        </c:rich>
      </c:tx>
      <c:layout>
        <c:manualLayout>
          <c:xMode val="edge"/>
          <c:yMode val="edge"/>
          <c:x val="0.25897385049091087"/>
          <c:y val="5.9164275698414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 '!$G$22</c:f>
              <c:strCache>
                <c:ptCount val="1"/>
                <c:pt idx="0">
                  <c:v>Total</c:v>
                </c:pt>
              </c:strCache>
            </c:strRef>
          </c:tx>
          <c:spPr>
            <a:solidFill>
              <a:schemeClr val="accent1">
                <a:lumMod val="60000"/>
                <a:lumOff val="40000"/>
              </a:schemeClr>
            </a:solidFill>
            <a:ln>
              <a:noFill/>
            </a:ln>
            <a:effectLst/>
            <a:sp3d/>
          </c:spPr>
          <c:invertIfNegative val="0"/>
          <c:cat>
            <c:strRef>
              <c:f>'Pivots '!$F$23:$F$30</c:f>
              <c:strCache>
                <c:ptCount val="7"/>
                <c:pt idx="0">
                  <c:v>Saturday</c:v>
                </c:pt>
                <c:pt idx="1">
                  <c:v>Friday</c:v>
                </c:pt>
                <c:pt idx="2">
                  <c:v>Thursday</c:v>
                </c:pt>
                <c:pt idx="3">
                  <c:v>Wednesday</c:v>
                </c:pt>
                <c:pt idx="4">
                  <c:v>Tuesday</c:v>
                </c:pt>
                <c:pt idx="5">
                  <c:v>Monday</c:v>
                </c:pt>
                <c:pt idx="6">
                  <c:v>Sunday</c:v>
                </c:pt>
              </c:strCache>
            </c:strRef>
          </c:cat>
          <c:val>
            <c:numRef>
              <c:f>'Pivots '!$G$23:$G$30</c:f>
              <c:numCache>
                <c:formatCode>#,##0</c:formatCode>
                <c:ptCount val="7"/>
                <c:pt idx="0">
                  <c:v>34</c:v>
                </c:pt>
                <c:pt idx="1">
                  <c:v>29</c:v>
                </c:pt>
                <c:pt idx="2">
                  <c:v>18</c:v>
                </c:pt>
                <c:pt idx="3">
                  <c:v>29</c:v>
                </c:pt>
                <c:pt idx="4">
                  <c:v>28</c:v>
                </c:pt>
                <c:pt idx="5">
                  <c:v>23</c:v>
                </c:pt>
                <c:pt idx="6">
                  <c:v>25</c:v>
                </c:pt>
              </c:numCache>
            </c:numRef>
          </c:val>
          <c:extLst>
            <c:ext xmlns:c16="http://schemas.microsoft.com/office/drawing/2014/chart" uri="{C3380CC4-5D6E-409C-BE32-E72D297353CC}">
              <c16:uniqueId val="{00000000-D48E-4E25-B4EE-B0ED2A3CFEFA}"/>
            </c:ext>
          </c:extLst>
        </c:ser>
        <c:dLbls>
          <c:showLegendKey val="0"/>
          <c:showVal val="0"/>
          <c:showCatName val="0"/>
          <c:showSerName val="0"/>
          <c:showPercent val="0"/>
          <c:showBubbleSize val="0"/>
        </c:dLbls>
        <c:gapWidth val="102"/>
        <c:gapDepth val="227"/>
        <c:shape val="box"/>
        <c:axId val="603725055"/>
        <c:axId val="603721215"/>
        <c:axId val="0"/>
      </c:bar3DChart>
      <c:catAx>
        <c:axId val="603725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603721215"/>
        <c:crosses val="autoZero"/>
        <c:auto val="1"/>
        <c:lblAlgn val="ctr"/>
        <c:lblOffset val="100"/>
        <c:noMultiLvlLbl val="0"/>
      </c:catAx>
      <c:valAx>
        <c:axId val="6037212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2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Berlin Sans FB Demi" panose="020E0802020502020306" pitchFamily="34" charset="0"/>
              </a:rPr>
              <a:t>Calls per rep</a:t>
            </a:r>
            <a:r>
              <a:rPr lang="en-IN"/>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'!$L$58:$L$62</c:f>
              <c:strCache>
                <c:ptCount val="5"/>
                <c:pt idx="0">
                  <c:v>R01</c:v>
                </c:pt>
                <c:pt idx="1">
                  <c:v>R02</c:v>
                </c:pt>
                <c:pt idx="2">
                  <c:v>R03</c:v>
                </c:pt>
                <c:pt idx="3">
                  <c:v>R04</c:v>
                </c:pt>
                <c:pt idx="4">
                  <c:v>R05</c:v>
                </c:pt>
              </c:strCache>
            </c:strRef>
          </c:cat>
          <c:val>
            <c:numRef>
              <c:f>'Pivots '!$M$58:$M$62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940-45A7-9DF9-09F5ED74E585}"/>
            </c:ext>
          </c:extLst>
        </c:ser>
        <c:ser>
          <c:idx val="1"/>
          <c:order val="1"/>
          <c:tx>
            <c:strRef>
              <c:f>'Pivots '!$O$57</c:f>
              <c:strCache>
                <c:ptCount val="1"/>
                <c:pt idx="0">
                  <c:v>sel. Calls</c:v>
                </c:pt>
              </c:strCache>
            </c:strRef>
          </c:tx>
          <c:spPr>
            <a:gradFill flip="none" rotWithShape="1">
              <a:gsLst>
                <a:gs pos="22000">
                  <a:schemeClr val="accent1">
                    <a:lumMod val="60000"/>
                    <a:lumOff val="40000"/>
                  </a:schemeClr>
                </a:gs>
                <a:gs pos="60000">
                  <a:schemeClr val="accent1">
                    <a:lumMod val="97000"/>
                    <a:lumOff val="3000"/>
                  </a:schemeClr>
                </a:gs>
                <a:gs pos="85000">
                  <a:schemeClr val="accent1">
                    <a:lumMod val="60000"/>
                    <a:lumOff val="40000"/>
                  </a:schemeClr>
                </a:gs>
              </a:gsLst>
              <a:lin ang="16200000" scaled="1"/>
              <a:tileRect/>
            </a:gradFill>
            <a:ln>
              <a:noFill/>
            </a:ln>
            <a:effectLst/>
          </c:spPr>
          <c:invertIfNegative val="0"/>
          <c:val>
            <c:numRef>
              <c:f>'Pivots '!$O$58:$O$62</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9940-45A7-9DF9-09F5ED74E585}"/>
            </c:ext>
          </c:extLst>
        </c:ser>
        <c:dLbls>
          <c:showLegendKey val="0"/>
          <c:showVal val="0"/>
          <c:showCatName val="0"/>
          <c:showSerName val="0"/>
          <c:showPercent val="0"/>
          <c:showBubbleSize val="0"/>
        </c:dLbls>
        <c:gapWidth val="84"/>
        <c:overlap val="100"/>
        <c:axId val="573957023"/>
        <c:axId val="541654175"/>
      </c:barChart>
      <c:catAx>
        <c:axId val="573957023"/>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541654175"/>
        <c:crosses val="autoZero"/>
        <c:auto val="1"/>
        <c:lblAlgn val="ctr"/>
        <c:lblOffset val="100"/>
        <c:noMultiLvlLbl val="0"/>
      </c:catAx>
      <c:valAx>
        <c:axId val="541654175"/>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5739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Berlin Sans FB Demi" panose="020E0802020502020306" pitchFamily="34" charset="0"/>
              </a:rPr>
              <a:t>Amount per rep</a:t>
            </a:r>
            <a:r>
              <a:rPr lang="en-IN"/>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'!$L$58:$L$62</c:f>
              <c:strCache>
                <c:ptCount val="5"/>
                <c:pt idx="0">
                  <c:v>R01</c:v>
                </c:pt>
                <c:pt idx="1">
                  <c:v>R02</c:v>
                </c:pt>
                <c:pt idx="2">
                  <c:v>R03</c:v>
                </c:pt>
                <c:pt idx="3">
                  <c:v>R04</c:v>
                </c:pt>
                <c:pt idx="4">
                  <c:v>R05</c:v>
                </c:pt>
              </c:strCache>
            </c:strRef>
          </c:cat>
          <c:val>
            <c:numRef>
              <c:f>'Pivots '!$N$58:$N$62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DCD-4B2D-877A-A8D3F8E617F7}"/>
            </c:ext>
          </c:extLst>
        </c:ser>
        <c:ser>
          <c:idx val="1"/>
          <c:order val="1"/>
          <c:tx>
            <c:strRef>
              <c:f>'Pivots '!$P$57</c:f>
              <c:strCache>
                <c:ptCount val="1"/>
                <c:pt idx="0">
                  <c:v>sel.amount</c:v>
                </c:pt>
              </c:strCache>
            </c:strRef>
          </c:tx>
          <c:spPr>
            <a:gradFill>
              <a:gsLst>
                <a:gs pos="22000">
                  <a:schemeClr val="accent1">
                    <a:lumMod val="60000"/>
                    <a:lumOff val="40000"/>
                  </a:schemeClr>
                </a:gs>
                <a:gs pos="60000">
                  <a:schemeClr val="accent1">
                    <a:lumMod val="97000"/>
                    <a:lumOff val="3000"/>
                  </a:schemeClr>
                </a:gs>
                <a:gs pos="85000">
                  <a:schemeClr val="accent1">
                    <a:lumMod val="60000"/>
                    <a:lumOff val="40000"/>
                  </a:schemeClr>
                </a:gs>
              </a:gsLst>
              <a:lin ang="16200000" scaled="1"/>
            </a:gradFill>
            <a:ln>
              <a:noFill/>
            </a:ln>
            <a:effectLst/>
          </c:spPr>
          <c:invertIfNegative val="0"/>
          <c:val>
            <c:numRef>
              <c:f>'Pivots '!$P$58:$P$62</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CDCD-4B2D-877A-A8D3F8E617F7}"/>
            </c:ext>
          </c:extLst>
        </c:ser>
        <c:dLbls>
          <c:showLegendKey val="0"/>
          <c:showVal val="0"/>
          <c:showCatName val="0"/>
          <c:showSerName val="0"/>
          <c:showPercent val="0"/>
          <c:showBubbleSize val="0"/>
        </c:dLbls>
        <c:gapWidth val="96"/>
        <c:overlap val="100"/>
        <c:axId val="573957023"/>
        <c:axId val="541654175"/>
      </c:barChart>
      <c:catAx>
        <c:axId val="573957023"/>
        <c:scaling>
          <c:orientation val="maxMin"/>
        </c:scaling>
        <c:delete val="1"/>
        <c:axPos val="l"/>
        <c:numFmt formatCode="General" sourceLinked="1"/>
        <c:majorTickMark val="none"/>
        <c:minorTickMark val="none"/>
        <c:tickLblPos val="nextTo"/>
        <c:crossAx val="541654175"/>
        <c:crosses val="autoZero"/>
        <c:auto val="1"/>
        <c:lblAlgn val="ctr"/>
        <c:lblOffset val="100"/>
        <c:noMultiLvlLbl val="0"/>
      </c:catAx>
      <c:valAx>
        <c:axId val="541654175"/>
        <c:scaling>
          <c:orientation val="minMax"/>
        </c:scaling>
        <c:delete val="0"/>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5739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excel dashboard.xlsx]Pivots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erlin Sans FB Demi" panose="020E0802020502020306" pitchFamily="34" charset="0"/>
                <a:ea typeface="+mn-ea"/>
                <a:cs typeface="+mn-cs"/>
              </a:defRPr>
            </a:pPr>
            <a:r>
              <a:rPr lang="en-IN">
                <a:latin typeface="Berlin Sans FB Demi" panose="020E0802020502020306" pitchFamily="34" charset="0"/>
              </a:rPr>
              <a:t> fe</a:t>
            </a:r>
            <a:r>
              <a:rPr lang="en-IN">
                <a:solidFill>
                  <a:schemeClr val="accent1">
                    <a:lumMod val="75000"/>
                  </a:schemeClr>
                </a:solidFill>
                <a:latin typeface="Berlin Sans FB Demi" panose="020E0802020502020306" pitchFamily="34" charset="0"/>
              </a:rPr>
              <a:t>male</a:t>
            </a:r>
            <a:r>
              <a:rPr lang="en-IN" baseline="0">
                <a:solidFill>
                  <a:srgbClr val="002060"/>
                </a:solidFill>
                <a:latin typeface="Berlin Sans FB Demi" panose="020E0802020502020306" pitchFamily="34" charset="0"/>
              </a:rPr>
              <a:t> vs </a:t>
            </a:r>
            <a:r>
              <a:rPr lang="en-IN" baseline="0">
                <a:solidFill>
                  <a:schemeClr val="tx2">
                    <a:lumMod val="60000"/>
                    <a:lumOff val="40000"/>
                  </a:schemeClr>
                </a:solidFill>
                <a:latin typeface="Berlin Sans FB Demi" panose="020E0802020502020306" pitchFamily="34" charset="0"/>
              </a:rPr>
              <a:t>male</a:t>
            </a:r>
            <a:r>
              <a:rPr lang="en-IN" baseline="0">
                <a:solidFill>
                  <a:srgbClr val="002060"/>
                </a:solidFill>
                <a:latin typeface="Berlin Sans FB Demi" panose="020E0802020502020306" pitchFamily="34" charset="0"/>
              </a:rPr>
              <a:t> callers </a:t>
            </a:r>
            <a:endParaRPr lang="en-IN">
              <a:solidFill>
                <a:srgbClr val="002060"/>
              </a:solidFill>
              <a:latin typeface="Berlin Sans FB Demi" panose="020E0802020502020306" pitchFamily="34" charset="0"/>
            </a:endParaRPr>
          </a:p>
        </c:rich>
      </c:tx>
      <c:layout>
        <c:manualLayout>
          <c:xMode val="edge"/>
          <c:yMode val="edge"/>
          <c:x val="0.13588845261844507"/>
          <c:y val="5.3555155346580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erlin Sans FB Demi" panose="020E0802020502020306" pitchFamily="34" charset="0"/>
              <a:ea typeface="+mn-ea"/>
              <a:cs typeface="+mn-cs"/>
            </a:defRPr>
          </a:pPr>
          <a:endParaRPr lang="en-IN"/>
        </a:p>
      </c:txPr>
    </c:title>
    <c:autoTitleDeleted val="0"/>
    <c:pivotFmts>
      <c:pivotFmt>
        <c:idx val="0"/>
        <c:spPr>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500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marker>
          <c:symbol val="none"/>
        </c:marker>
        <c:dLbl>
          <c:idx val="0"/>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500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marker>
          <c:symbol val="none"/>
        </c:marker>
        <c:dLbl>
          <c:idx val="0"/>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 '!$G$33:$G$34</c:f>
              <c:strCache>
                <c:ptCount val="1"/>
                <c:pt idx="0">
                  <c:v>Female</c:v>
                </c:pt>
              </c:strCache>
            </c:strRef>
          </c:tx>
          <c:spPr>
            <a:solidFill>
              <a:schemeClr val="accent1">
                <a:lumMod val="75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'!$F$35:$F$38</c:f>
              <c:strCache>
                <c:ptCount val="3"/>
                <c:pt idx="0">
                  <c:v>Cincinnati</c:v>
                </c:pt>
                <c:pt idx="1">
                  <c:v>Cleveland</c:v>
                </c:pt>
                <c:pt idx="2">
                  <c:v>Columbus</c:v>
                </c:pt>
              </c:strCache>
            </c:strRef>
          </c:cat>
          <c:val>
            <c:numRef>
              <c:f>'Pivots '!$G$35:$G$38</c:f>
              <c:numCache>
                <c:formatCode>#,##0</c:formatCode>
                <c:ptCount val="3"/>
                <c:pt idx="0">
                  <c:v>144</c:v>
                </c:pt>
                <c:pt idx="1">
                  <c:v>326</c:v>
                </c:pt>
                <c:pt idx="2">
                  <c:v>129</c:v>
                </c:pt>
              </c:numCache>
            </c:numRef>
          </c:val>
          <c:extLst>
            <c:ext xmlns:c16="http://schemas.microsoft.com/office/drawing/2014/chart" uri="{C3380CC4-5D6E-409C-BE32-E72D297353CC}">
              <c16:uniqueId val="{00000000-BEA9-4BCD-B1A6-6053D2AEF498}"/>
            </c:ext>
          </c:extLst>
        </c:ser>
        <c:ser>
          <c:idx val="1"/>
          <c:order val="1"/>
          <c:tx>
            <c:strRef>
              <c:f>'Pivots '!$H$33:$H$34</c:f>
              <c:strCache>
                <c:ptCount val="1"/>
                <c:pt idx="0">
                  <c:v>Male</c:v>
                </c:pt>
              </c:strCache>
            </c:strRef>
          </c:tx>
          <c:spPr>
            <a:solidFill>
              <a:schemeClr val="tx2">
                <a:lumMod val="40000"/>
                <a:lumOff val="60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'!$F$35:$F$38</c:f>
              <c:strCache>
                <c:ptCount val="3"/>
                <c:pt idx="0">
                  <c:v>Cincinnati</c:v>
                </c:pt>
                <c:pt idx="1">
                  <c:v>Cleveland</c:v>
                </c:pt>
                <c:pt idx="2">
                  <c:v>Columbus</c:v>
                </c:pt>
              </c:strCache>
            </c:strRef>
          </c:cat>
          <c:val>
            <c:numRef>
              <c:f>'Pivots '!$H$35:$H$38</c:f>
              <c:numCache>
                <c:formatCode>#,##0</c:formatCode>
                <c:ptCount val="3"/>
                <c:pt idx="0">
                  <c:v>132</c:v>
                </c:pt>
                <c:pt idx="1">
                  <c:v>63</c:v>
                </c:pt>
                <c:pt idx="2">
                  <c:v>206</c:v>
                </c:pt>
              </c:numCache>
            </c:numRef>
          </c:val>
          <c:extLst>
            <c:ext xmlns:c16="http://schemas.microsoft.com/office/drawing/2014/chart" uri="{C3380CC4-5D6E-409C-BE32-E72D297353CC}">
              <c16:uniqueId val="{00000001-BEA9-4BCD-B1A6-6053D2AEF498}"/>
            </c:ext>
          </c:extLst>
        </c:ser>
        <c:dLbls>
          <c:showLegendKey val="0"/>
          <c:showVal val="0"/>
          <c:showCatName val="0"/>
          <c:showSerName val="0"/>
          <c:showPercent val="0"/>
          <c:showBubbleSize val="0"/>
        </c:dLbls>
        <c:gapWidth val="70"/>
        <c:overlap val="100"/>
        <c:axId val="1006280831"/>
        <c:axId val="1006281311"/>
      </c:barChart>
      <c:catAx>
        <c:axId val="100628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1006281311"/>
        <c:crosses val="autoZero"/>
        <c:auto val="1"/>
        <c:lblAlgn val="ctr"/>
        <c:lblOffset val="100"/>
        <c:noMultiLvlLbl val="0"/>
      </c:catAx>
      <c:valAx>
        <c:axId val="10062813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006280831"/>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excel dashboard.xlsx]Pivots !rating rep</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latin typeface="Berlin Sans FB Demi" panose="020E0802020502020306" pitchFamily="34" charset="0"/>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0000"/>
                  <a:lumOff val="40000"/>
                </a:schemeClr>
              </a:gs>
              <a:gs pos="48000">
                <a:schemeClr val="accent1">
                  <a:lumMod val="40000"/>
                  <a:lumOff val="60000"/>
                </a:schemeClr>
              </a:gs>
              <a:gs pos="100000">
                <a:schemeClr val="accent2">
                  <a:lumMod val="60000"/>
                  <a:lumOff val="40000"/>
                </a:schemeClr>
              </a:gs>
            </a:gsLst>
            <a:lin ang="16200000" scaled="1"/>
            <a:tileRect/>
          </a:gra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'!$L$33</c:f>
              <c:strCache>
                <c:ptCount val="1"/>
                <c:pt idx="0">
                  <c:v>Total</c:v>
                </c:pt>
              </c:strCache>
            </c:strRef>
          </c:tx>
          <c:spPr>
            <a:gradFill flip="none" rotWithShape="1">
              <a:gsLst>
                <a:gs pos="0">
                  <a:schemeClr val="accent1">
                    <a:lumMod val="60000"/>
                    <a:lumOff val="40000"/>
                  </a:schemeClr>
                </a:gs>
                <a:gs pos="48000">
                  <a:schemeClr val="accent1">
                    <a:lumMod val="40000"/>
                    <a:lumOff val="60000"/>
                  </a:schemeClr>
                </a:gs>
                <a:gs pos="100000">
                  <a:schemeClr val="accent2">
                    <a:lumMod val="60000"/>
                    <a:lumOff val="40000"/>
                  </a:schemeClr>
                </a:gs>
              </a:gsLst>
              <a:lin ang="16200000" scaled="1"/>
              <a:tileRect/>
            </a:gradFill>
            <a:ln>
              <a:solidFill>
                <a:schemeClr val="accent1">
                  <a:lumMod val="75000"/>
                </a:schemeClr>
              </a:solidFill>
            </a:ln>
            <a:effectLst/>
          </c:spPr>
          <c:invertIfNegative val="0"/>
          <c:cat>
            <c:strRef>
              <c:f>'Pivots '!$K$34:$K$39</c:f>
              <c:strCache>
                <c:ptCount val="5"/>
                <c:pt idx="0">
                  <c:v>1</c:v>
                </c:pt>
                <c:pt idx="1">
                  <c:v>2</c:v>
                </c:pt>
                <c:pt idx="2">
                  <c:v>3</c:v>
                </c:pt>
                <c:pt idx="3">
                  <c:v>4</c:v>
                </c:pt>
                <c:pt idx="4">
                  <c:v>5</c:v>
                </c:pt>
              </c:strCache>
            </c:strRef>
          </c:cat>
          <c:val>
            <c:numRef>
              <c:f>'Pivots '!$L$34:$L$39</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505D-4ADD-BA79-5701E4EB9A11}"/>
            </c:ext>
          </c:extLst>
        </c:ser>
        <c:dLbls>
          <c:showLegendKey val="0"/>
          <c:showVal val="0"/>
          <c:showCatName val="0"/>
          <c:showSerName val="0"/>
          <c:showPercent val="0"/>
          <c:showBubbleSize val="0"/>
        </c:dLbls>
        <c:gapWidth val="30"/>
        <c:overlap val="-27"/>
        <c:axId val="1064103359"/>
        <c:axId val="1064103839"/>
      </c:barChart>
      <c:catAx>
        <c:axId val="106410335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1064103839"/>
        <c:crosses val="autoZero"/>
        <c:auto val="1"/>
        <c:lblAlgn val="ctr"/>
        <c:lblOffset val="100"/>
        <c:noMultiLvlLbl val="0"/>
      </c:catAx>
      <c:valAx>
        <c:axId val="1064103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Berlin Sans FB Demi" panose="020E0802020502020306" pitchFamily="34" charset="0"/>
                <a:ea typeface="+mn-ea"/>
                <a:cs typeface="+mn-cs"/>
              </a:defRPr>
            </a:pPr>
            <a:endParaRPr lang="en-US"/>
          </a:p>
        </c:txPr>
        <c:crossAx val="106410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425450</xdr:colOff>
      <xdr:row>2</xdr:row>
      <xdr:rowOff>63500</xdr:rowOff>
    </xdr:from>
    <xdr:to>
      <xdr:col>4</xdr:col>
      <xdr:colOff>273050</xdr:colOff>
      <xdr:row>5</xdr:row>
      <xdr:rowOff>171450</xdr:rowOff>
    </xdr:to>
    <xdr:sp macro="" textlink="'Pivots '!A4">
      <xdr:nvSpPr>
        <xdr:cNvPr id="2" name="Rectangle 1">
          <a:extLst>
            <a:ext uri="{FF2B5EF4-FFF2-40B4-BE49-F238E27FC236}">
              <a16:creationId xmlns:a16="http://schemas.microsoft.com/office/drawing/2014/main" id="{B29EDE53-56F2-46AA-6EC5-A481B77A3267}"/>
            </a:ext>
          </a:extLst>
        </xdr:cNvPr>
        <xdr:cNvSpPr/>
      </xdr:nvSpPr>
      <xdr:spPr>
        <a:xfrm>
          <a:off x="838200" y="431800"/>
          <a:ext cx="1066800" cy="660400"/>
        </a:xfrm>
        <a:prstGeom prst="rect">
          <a:avLst/>
        </a:prstGeom>
        <a:solidFill>
          <a:schemeClr val="accent1">
            <a:lumMod val="60000"/>
            <a:lumOff val="40000"/>
          </a:schemeClr>
        </a:solidFill>
        <a:ln>
          <a:solidFill>
            <a:schemeClr val="accent1">
              <a:lumMod val="60000"/>
              <a:lumOff val="40000"/>
            </a:schemeClr>
          </a:solidFill>
        </a:ln>
        <a:effectLst>
          <a:outerShdw blurRad="50800" dist="38100" algn="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fld id="{44A42351-CC87-476E-8960-F8BA3FB56DDF}" type="TxLink">
            <a:rPr lang="en-US" sz="1800" b="0" i="0" u="none" strike="noStrike">
              <a:solidFill>
                <a:srgbClr val="002060"/>
              </a:solidFill>
              <a:latin typeface="Berlin Sans FB Demi" panose="020E0802020502020306" pitchFamily="34" charset="0"/>
              <a:ea typeface="Calibri"/>
              <a:cs typeface="Calibri"/>
            </a:rPr>
            <a:pPr algn="ctr"/>
            <a:t>1,000</a:t>
          </a:fld>
          <a:endParaRPr lang="en-IN" sz="1800">
            <a:solidFill>
              <a:srgbClr val="002060"/>
            </a:solidFill>
            <a:latin typeface="Berlin Sans FB Demi" panose="020E0802020502020306" pitchFamily="34" charset="0"/>
          </a:endParaRPr>
        </a:p>
      </xdr:txBody>
    </xdr:sp>
    <xdr:clientData/>
  </xdr:twoCellAnchor>
  <xdr:twoCellAnchor>
    <xdr:from>
      <xdr:col>2</xdr:col>
      <xdr:colOff>508000</xdr:colOff>
      <xdr:row>2</xdr:row>
      <xdr:rowOff>101600</xdr:rowOff>
    </xdr:from>
    <xdr:to>
      <xdr:col>4</xdr:col>
      <xdr:colOff>215900</xdr:colOff>
      <xdr:row>3</xdr:row>
      <xdr:rowOff>63500</xdr:rowOff>
    </xdr:to>
    <xdr:sp macro="" textlink="">
      <xdr:nvSpPr>
        <xdr:cNvPr id="3" name="TextBox 2">
          <a:extLst>
            <a:ext uri="{FF2B5EF4-FFF2-40B4-BE49-F238E27FC236}">
              <a16:creationId xmlns:a16="http://schemas.microsoft.com/office/drawing/2014/main" id="{613C173F-6ADA-56A9-8FAC-319B6FA2BB47}"/>
            </a:ext>
          </a:extLst>
        </xdr:cNvPr>
        <xdr:cNvSpPr txBox="1"/>
      </xdr:nvSpPr>
      <xdr:spPr>
        <a:xfrm>
          <a:off x="920750" y="469900"/>
          <a:ext cx="927100" cy="1460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latin typeface="+mj-lt"/>
            </a:rPr>
            <a:t>Calls</a:t>
          </a:r>
        </a:p>
      </xdr:txBody>
    </xdr:sp>
    <xdr:clientData/>
  </xdr:twoCellAnchor>
  <xdr:twoCellAnchor editAs="oneCell">
    <xdr:from>
      <xdr:col>2</xdr:col>
      <xdr:colOff>438150</xdr:colOff>
      <xdr:row>2</xdr:row>
      <xdr:rowOff>82551</xdr:rowOff>
    </xdr:from>
    <xdr:to>
      <xdr:col>3</xdr:col>
      <xdr:colOff>66782</xdr:colOff>
      <xdr:row>3</xdr:row>
      <xdr:rowOff>127000</xdr:rowOff>
    </xdr:to>
    <xdr:pic>
      <xdr:nvPicPr>
        <xdr:cNvPr id="4" name="Graphic 3" descr="Receiver with solid fill">
          <a:extLst>
            <a:ext uri="{FF2B5EF4-FFF2-40B4-BE49-F238E27FC236}">
              <a16:creationId xmlns:a16="http://schemas.microsoft.com/office/drawing/2014/main" id="{43FE29CA-2100-4BB3-8323-16C6814AD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0900" y="450851"/>
          <a:ext cx="238232" cy="228599"/>
        </a:xfrm>
        <a:prstGeom prst="rect">
          <a:avLst/>
        </a:prstGeom>
        <a:effectLst>
          <a:outerShdw blurRad="50800" dist="38100" dir="5400000" algn="t" rotWithShape="0">
            <a:prstClr val="black">
              <a:alpha val="40000"/>
            </a:prstClr>
          </a:outerShdw>
        </a:effectLst>
      </xdr:spPr>
    </xdr:pic>
    <xdr:clientData/>
  </xdr:twoCellAnchor>
  <xdr:twoCellAnchor>
    <xdr:from>
      <xdr:col>3</xdr:col>
      <xdr:colOff>127000</xdr:colOff>
      <xdr:row>4</xdr:row>
      <xdr:rowOff>177800</xdr:rowOff>
    </xdr:from>
    <xdr:to>
      <xdr:col>4</xdr:col>
      <xdr:colOff>12700</xdr:colOff>
      <xdr:row>5</xdr:row>
      <xdr:rowOff>158750</xdr:rowOff>
    </xdr:to>
    <xdr:sp macro="" textlink="'Pivots '!A10">
      <xdr:nvSpPr>
        <xdr:cNvPr id="8" name="TextBox 7">
          <a:extLst>
            <a:ext uri="{FF2B5EF4-FFF2-40B4-BE49-F238E27FC236}">
              <a16:creationId xmlns:a16="http://schemas.microsoft.com/office/drawing/2014/main" id="{495B9AB1-7B7B-7AD0-4D3E-84B44DD71D84}"/>
            </a:ext>
          </a:extLst>
        </xdr:cNvPr>
        <xdr:cNvSpPr txBox="1"/>
      </xdr:nvSpPr>
      <xdr:spPr>
        <a:xfrm>
          <a:off x="1149350" y="914400"/>
          <a:ext cx="495300" cy="1651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CF2C24-7898-4B72-87C9-5108ED4CD9F6}" type="TxLink">
            <a:rPr lang="en-US" sz="1100" b="0" i="0" u="none" strike="noStrike">
              <a:solidFill>
                <a:srgbClr val="002060"/>
              </a:solidFill>
              <a:latin typeface="Berlin Sans FB" panose="020E0602020502020306" pitchFamily="34" charset="0"/>
              <a:ea typeface="Calibri"/>
              <a:cs typeface="Calibri"/>
            </a:rPr>
            <a:pPr algn="ctr"/>
            <a:t>186</a:t>
          </a:fld>
          <a:endParaRPr lang="en-IN" sz="1100" b="0">
            <a:solidFill>
              <a:srgbClr val="002060"/>
            </a:solidFill>
            <a:latin typeface="Berlin Sans FB" panose="020E0602020502020306" pitchFamily="34" charset="0"/>
          </a:endParaRPr>
        </a:p>
      </xdr:txBody>
    </xdr:sp>
    <xdr:clientData/>
  </xdr:twoCellAnchor>
  <xdr:twoCellAnchor>
    <xdr:from>
      <xdr:col>2</xdr:col>
      <xdr:colOff>476250</xdr:colOff>
      <xdr:row>8</xdr:row>
      <xdr:rowOff>146050</xdr:rowOff>
    </xdr:from>
    <xdr:to>
      <xdr:col>4</xdr:col>
      <xdr:colOff>323850</xdr:colOff>
      <xdr:row>12</xdr:row>
      <xdr:rowOff>69850</xdr:rowOff>
    </xdr:to>
    <xdr:sp macro="" textlink="'Pivots '!B4">
      <xdr:nvSpPr>
        <xdr:cNvPr id="25" name="Rectangle 24">
          <a:extLst>
            <a:ext uri="{FF2B5EF4-FFF2-40B4-BE49-F238E27FC236}">
              <a16:creationId xmlns:a16="http://schemas.microsoft.com/office/drawing/2014/main" id="{470D70A1-0152-4EB1-89D3-0E7C45E09F7C}"/>
            </a:ext>
          </a:extLst>
        </xdr:cNvPr>
        <xdr:cNvSpPr/>
      </xdr:nvSpPr>
      <xdr:spPr>
        <a:xfrm>
          <a:off x="889000" y="1619250"/>
          <a:ext cx="1066800" cy="660400"/>
        </a:xfrm>
        <a:prstGeom prst="rect">
          <a:avLst/>
        </a:prstGeom>
        <a:solidFill>
          <a:schemeClr val="accent1">
            <a:lumMod val="60000"/>
            <a:lumOff val="40000"/>
          </a:schemeClr>
        </a:solidFill>
        <a:ln>
          <a:solidFill>
            <a:schemeClr val="accent1">
              <a:lumMod val="60000"/>
              <a:lumOff val="40000"/>
            </a:schemeClr>
          </a:solidFill>
        </a:ln>
        <a:effectLst>
          <a:outerShdw blurRad="50800" dist="38100" algn="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indent="0" algn="ctr"/>
          <a:fld id="{D365005C-2EC7-4538-874C-90C0EE60D035}" type="TxLink">
            <a:rPr lang="en-US" sz="1800" b="0" i="0" u="none" strike="noStrike">
              <a:solidFill>
                <a:srgbClr val="002060"/>
              </a:solidFill>
              <a:latin typeface="Berlin Sans FB Demi" panose="020E0802020502020306" pitchFamily="34" charset="0"/>
              <a:ea typeface="Calibri"/>
              <a:cs typeface="Calibri"/>
            </a:rPr>
            <a:pPr marL="0" indent="0" algn="ctr"/>
            <a:t>96,623</a:t>
          </a:fld>
          <a:endParaRPr lang="en-IN" sz="18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2</xdr:col>
      <xdr:colOff>596900</xdr:colOff>
      <xdr:row>8</xdr:row>
      <xdr:rowOff>158750</xdr:rowOff>
    </xdr:from>
    <xdr:to>
      <xdr:col>4</xdr:col>
      <xdr:colOff>304800</xdr:colOff>
      <xdr:row>9</xdr:row>
      <xdr:rowOff>120650</xdr:rowOff>
    </xdr:to>
    <xdr:sp macro="" textlink="">
      <xdr:nvSpPr>
        <xdr:cNvPr id="26" name="TextBox 25">
          <a:extLst>
            <a:ext uri="{FF2B5EF4-FFF2-40B4-BE49-F238E27FC236}">
              <a16:creationId xmlns:a16="http://schemas.microsoft.com/office/drawing/2014/main" id="{5FA8416C-B374-407E-9A30-2A20290CE203}"/>
            </a:ext>
          </a:extLst>
        </xdr:cNvPr>
        <xdr:cNvSpPr txBox="1"/>
      </xdr:nvSpPr>
      <xdr:spPr>
        <a:xfrm>
          <a:off x="1009650" y="1631950"/>
          <a:ext cx="927100" cy="1460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solidFill>
                <a:srgbClr val="002060"/>
              </a:solidFill>
              <a:latin typeface="+mj-lt"/>
            </a:rPr>
            <a:t> </a:t>
          </a:r>
          <a:r>
            <a:rPr lang="en-IN" sz="1100" b="1" baseline="0">
              <a:solidFill>
                <a:srgbClr val="002060"/>
              </a:solidFill>
              <a:latin typeface="+mj-lt"/>
            </a:rPr>
            <a:t>Amount</a:t>
          </a:r>
        </a:p>
      </xdr:txBody>
    </xdr:sp>
    <xdr:clientData/>
  </xdr:twoCellAnchor>
  <xdr:twoCellAnchor editAs="oneCell">
    <xdr:from>
      <xdr:col>2</xdr:col>
      <xdr:colOff>531866</xdr:colOff>
      <xdr:row>8</xdr:row>
      <xdr:rowOff>139701</xdr:rowOff>
    </xdr:from>
    <xdr:to>
      <xdr:col>3</xdr:col>
      <xdr:colOff>150159</xdr:colOff>
      <xdr:row>9</xdr:row>
      <xdr:rowOff>174625</xdr:rowOff>
    </xdr:to>
    <xdr:pic>
      <xdr:nvPicPr>
        <xdr:cNvPr id="27" name="Graphic 26">
          <a:extLst>
            <a:ext uri="{FF2B5EF4-FFF2-40B4-BE49-F238E27FC236}">
              <a16:creationId xmlns:a16="http://schemas.microsoft.com/office/drawing/2014/main" id="{4E866221-AC75-42AF-82FB-983D644134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944616" y="1612901"/>
          <a:ext cx="228599" cy="228599"/>
        </a:xfrm>
        <a:prstGeom prst="rect">
          <a:avLst/>
        </a:prstGeom>
        <a:effectLst>
          <a:outerShdw blurRad="50800" dist="38100" dir="5400000" algn="t" rotWithShape="0">
            <a:prstClr val="black">
              <a:alpha val="40000"/>
            </a:prstClr>
          </a:outerShdw>
        </a:effectLst>
      </xdr:spPr>
    </xdr:pic>
    <xdr:clientData/>
  </xdr:twoCellAnchor>
  <xdr:twoCellAnchor>
    <xdr:from>
      <xdr:col>3</xdr:col>
      <xdr:colOff>152400</xdr:colOff>
      <xdr:row>11</xdr:row>
      <xdr:rowOff>50800</xdr:rowOff>
    </xdr:from>
    <xdr:to>
      <xdr:col>4</xdr:col>
      <xdr:colOff>38100</xdr:colOff>
      <xdr:row>12</xdr:row>
      <xdr:rowOff>31750</xdr:rowOff>
    </xdr:to>
    <xdr:sp macro="" textlink="'Pivots '!B10">
      <xdr:nvSpPr>
        <xdr:cNvPr id="28" name="TextBox 27">
          <a:extLst>
            <a:ext uri="{FF2B5EF4-FFF2-40B4-BE49-F238E27FC236}">
              <a16:creationId xmlns:a16="http://schemas.microsoft.com/office/drawing/2014/main" id="{184BE6BC-BBA4-4FB1-95FF-757975B06F73}"/>
            </a:ext>
          </a:extLst>
        </xdr:cNvPr>
        <xdr:cNvSpPr txBox="1"/>
      </xdr:nvSpPr>
      <xdr:spPr>
        <a:xfrm>
          <a:off x="1174750" y="2076450"/>
          <a:ext cx="495300" cy="1651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7408B8-90C4-426B-B43E-1672CF54CD5C}" type="TxLink">
            <a:rPr lang="en-US" sz="1100" b="0" i="0" u="none" strike="noStrike">
              <a:solidFill>
                <a:srgbClr val="002060"/>
              </a:solidFill>
              <a:latin typeface="Berlin Sans FB" panose="020E0602020502020306" pitchFamily="34" charset="0"/>
              <a:ea typeface="Calibri"/>
              <a:cs typeface="Calibri"/>
            </a:rPr>
            <a:pPr algn="ctr"/>
            <a:t>16,651</a:t>
          </a:fld>
          <a:endParaRPr lang="en-IN" sz="1100" b="1">
            <a:solidFill>
              <a:srgbClr val="002060"/>
            </a:solidFill>
            <a:latin typeface="Berlin Sans FB" panose="020E0602020502020306" pitchFamily="34" charset="0"/>
          </a:endParaRPr>
        </a:p>
      </xdr:txBody>
    </xdr:sp>
    <xdr:clientData/>
  </xdr:twoCellAnchor>
  <xdr:twoCellAnchor>
    <xdr:from>
      <xdr:col>2</xdr:col>
      <xdr:colOff>450850</xdr:colOff>
      <xdr:row>14</xdr:row>
      <xdr:rowOff>165100</xdr:rowOff>
    </xdr:from>
    <xdr:to>
      <xdr:col>4</xdr:col>
      <xdr:colOff>298450</xdr:colOff>
      <xdr:row>18</xdr:row>
      <xdr:rowOff>88900</xdr:rowOff>
    </xdr:to>
    <xdr:sp macro="" textlink="'Pivots '!C4">
      <xdr:nvSpPr>
        <xdr:cNvPr id="33" name="Rectangle 32">
          <a:extLst>
            <a:ext uri="{FF2B5EF4-FFF2-40B4-BE49-F238E27FC236}">
              <a16:creationId xmlns:a16="http://schemas.microsoft.com/office/drawing/2014/main" id="{5E01D8E1-6724-4331-A0A9-33A123F9D89F}"/>
            </a:ext>
          </a:extLst>
        </xdr:cNvPr>
        <xdr:cNvSpPr/>
      </xdr:nvSpPr>
      <xdr:spPr>
        <a:xfrm>
          <a:off x="863600" y="2743200"/>
          <a:ext cx="1066800" cy="660400"/>
        </a:xfrm>
        <a:prstGeom prst="rect">
          <a:avLst/>
        </a:prstGeom>
        <a:solidFill>
          <a:schemeClr val="accent1">
            <a:lumMod val="60000"/>
            <a:lumOff val="40000"/>
          </a:schemeClr>
        </a:solidFill>
        <a:ln>
          <a:solidFill>
            <a:schemeClr val="accent1">
              <a:lumMod val="60000"/>
              <a:lumOff val="40000"/>
            </a:schemeClr>
          </a:solidFill>
        </a:ln>
        <a:effectLst>
          <a:outerShdw blurRad="50800" dist="38100" algn="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indent="0" algn="ctr"/>
          <a:fld id="{2FB57BC9-EDB9-4102-8974-8EC57B25240C}" type="TxLink">
            <a:rPr lang="en-US" sz="1800" b="0" i="0" u="none" strike="noStrike">
              <a:solidFill>
                <a:srgbClr val="002060"/>
              </a:solidFill>
              <a:latin typeface="Berlin Sans FB Demi" panose="020E0802020502020306" pitchFamily="34" charset="0"/>
              <a:ea typeface="Calibri"/>
              <a:cs typeface="Calibri"/>
            </a:rPr>
            <a:pPr marL="0" indent="0" algn="ctr"/>
            <a:t>89,850</a:t>
          </a:fld>
          <a:endParaRPr lang="en-IN" sz="18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2</xdr:col>
      <xdr:colOff>520700</xdr:colOff>
      <xdr:row>15</xdr:row>
      <xdr:rowOff>0</xdr:rowOff>
    </xdr:from>
    <xdr:to>
      <xdr:col>4</xdr:col>
      <xdr:colOff>228600</xdr:colOff>
      <xdr:row>15</xdr:row>
      <xdr:rowOff>146050</xdr:rowOff>
    </xdr:to>
    <xdr:sp macro="" textlink="">
      <xdr:nvSpPr>
        <xdr:cNvPr id="34" name="TextBox 33">
          <a:extLst>
            <a:ext uri="{FF2B5EF4-FFF2-40B4-BE49-F238E27FC236}">
              <a16:creationId xmlns:a16="http://schemas.microsoft.com/office/drawing/2014/main" id="{769D98A6-09C7-415F-91A1-D24F626EFB4B}"/>
            </a:ext>
          </a:extLst>
        </xdr:cNvPr>
        <xdr:cNvSpPr txBox="1"/>
      </xdr:nvSpPr>
      <xdr:spPr>
        <a:xfrm>
          <a:off x="933450" y="2762250"/>
          <a:ext cx="927100" cy="1460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latin typeface="+mj-lt"/>
            </a:rPr>
            <a:t>Duration</a:t>
          </a:r>
        </a:p>
      </xdr:txBody>
    </xdr:sp>
    <xdr:clientData/>
  </xdr:twoCellAnchor>
  <xdr:twoCellAnchor editAs="oneCell">
    <xdr:from>
      <xdr:col>2</xdr:col>
      <xdr:colOff>455666</xdr:colOff>
      <xdr:row>14</xdr:row>
      <xdr:rowOff>165101</xdr:rowOff>
    </xdr:from>
    <xdr:to>
      <xdr:col>3</xdr:col>
      <xdr:colOff>74665</xdr:colOff>
      <xdr:row>16</xdr:row>
      <xdr:rowOff>25399</xdr:rowOff>
    </xdr:to>
    <xdr:pic>
      <xdr:nvPicPr>
        <xdr:cNvPr id="35" name="Graphic 34">
          <a:extLst>
            <a:ext uri="{FF2B5EF4-FFF2-40B4-BE49-F238E27FC236}">
              <a16:creationId xmlns:a16="http://schemas.microsoft.com/office/drawing/2014/main" id="{4BA44A78-0179-4832-9741-DC89B443DE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68416" y="2743201"/>
          <a:ext cx="228599" cy="228599"/>
        </a:xfrm>
        <a:prstGeom prst="rect">
          <a:avLst/>
        </a:prstGeom>
        <a:effectLst>
          <a:outerShdw blurRad="50800" dist="38100" dir="5400000" algn="t" rotWithShape="0">
            <a:prstClr val="black">
              <a:alpha val="40000"/>
            </a:prstClr>
          </a:outerShdw>
        </a:effectLst>
      </xdr:spPr>
    </xdr:pic>
    <xdr:clientData/>
  </xdr:twoCellAnchor>
  <xdr:twoCellAnchor>
    <xdr:from>
      <xdr:col>3</xdr:col>
      <xdr:colOff>139700</xdr:colOff>
      <xdr:row>17</xdr:row>
      <xdr:rowOff>76200</xdr:rowOff>
    </xdr:from>
    <xdr:to>
      <xdr:col>4</xdr:col>
      <xdr:colOff>25400</xdr:colOff>
      <xdr:row>18</xdr:row>
      <xdr:rowOff>57150</xdr:rowOff>
    </xdr:to>
    <xdr:sp macro="" textlink="'Pivots '!C10">
      <xdr:nvSpPr>
        <xdr:cNvPr id="36" name="TextBox 35">
          <a:extLst>
            <a:ext uri="{FF2B5EF4-FFF2-40B4-BE49-F238E27FC236}">
              <a16:creationId xmlns:a16="http://schemas.microsoft.com/office/drawing/2014/main" id="{24BFC9C4-5D21-4EB3-8D07-90DA0CAF318F}"/>
            </a:ext>
          </a:extLst>
        </xdr:cNvPr>
        <xdr:cNvSpPr txBox="1"/>
      </xdr:nvSpPr>
      <xdr:spPr>
        <a:xfrm>
          <a:off x="1162050" y="3206750"/>
          <a:ext cx="495300" cy="1651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509B83-9173-490F-BB97-C8914F9E7CE8}" type="TxLink">
            <a:rPr lang="en-US" sz="1100" b="0" i="0" u="none" strike="noStrike">
              <a:solidFill>
                <a:srgbClr val="002060"/>
              </a:solidFill>
              <a:latin typeface="Berlin Sans FB" panose="020E0602020502020306" pitchFamily="34" charset="0"/>
              <a:ea typeface="Calibri"/>
              <a:cs typeface="Calibri"/>
            </a:rPr>
            <a:pPr algn="ctr"/>
            <a:t>17,807</a:t>
          </a:fld>
          <a:endParaRPr lang="en-IN" sz="1100" b="1">
            <a:solidFill>
              <a:srgbClr val="002060"/>
            </a:solidFill>
            <a:latin typeface="Berlin Sans FB" panose="020E0602020502020306" pitchFamily="34" charset="0"/>
          </a:endParaRPr>
        </a:p>
      </xdr:txBody>
    </xdr:sp>
    <xdr:clientData/>
  </xdr:twoCellAnchor>
  <xdr:twoCellAnchor>
    <xdr:from>
      <xdr:col>2</xdr:col>
      <xdr:colOff>419100</xdr:colOff>
      <xdr:row>21</xdr:row>
      <xdr:rowOff>50800</xdr:rowOff>
    </xdr:from>
    <xdr:to>
      <xdr:col>4</xdr:col>
      <xdr:colOff>266700</xdr:colOff>
      <xdr:row>24</xdr:row>
      <xdr:rowOff>158750</xdr:rowOff>
    </xdr:to>
    <xdr:sp macro="" textlink="'Pivots '!D4">
      <xdr:nvSpPr>
        <xdr:cNvPr id="37" name="Rectangle 36">
          <a:extLst>
            <a:ext uri="{FF2B5EF4-FFF2-40B4-BE49-F238E27FC236}">
              <a16:creationId xmlns:a16="http://schemas.microsoft.com/office/drawing/2014/main" id="{0566E1DB-1978-4E99-86CB-4EC05ED9A461}"/>
            </a:ext>
          </a:extLst>
        </xdr:cNvPr>
        <xdr:cNvSpPr/>
      </xdr:nvSpPr>
      <xdr:spPr>
        <a:xfrm>
          <a:off x="831850" y="3917950"/>
          <a:ext cx="1066800" cy="660400"/>
        </a:xfrm>
        <a:prstGeom prst="rect">
          <a:avLst/>
        </a:prstGeom>
        <a:solidFill>
          <a:schemeClr val="accent1">
            <a:lumMod val="60000"/>
            <a:lumOff val="40000"/>
          </a:schemeClr>
        </a:solidFill>
        <a:ln>
          <a:solidFill>
            <a:schemeClr val="accent1">
              <a:lumMod val="60000"/>
              <a:lumOff val="40000"/>
            </a:schemeClr>
          </a:solidFill>
        </a:ln>
        <a:effectLst>
          <a:outerShdw blurRad="50800" dist="38100" algn="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indent="0" algn="ctr"/>
          <a:fld id="{D8B8A4DE-7A7D-4DA9-AD0F-C0487ACDE29A}" type="TxLink">
            <a:rPr lang="en-US" sz="1800" b="0" i="0" u="none" strike="noStrike">
              <a:solidFill>
                <a:srgbClr val="002060"/>
              </a:solidFill>
              <a:latin typeface="Berlin Sans FB Demi" panose="020E0802020502020306" pitchFamily="34" charset="0"/>
              <a:ea typeface="Calibri"/>
              <a:cs typeface="Calibri"/>
            </a:rPr>
            <a:pPr marL="0" indent="0" algn="ctr"/>
            <a:t>4</a:t>
          </a:fld>
          <a:endParaRPr lang="en-IN" sz="18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2</xdr:col>
      <xdr:colOff>565150</xdr:colOff>
      <xdr:row>21</xdr:row>
      <xdr:rowOff>95250</xdr:rowOff>
    </xdr:from>
    <xdr:to>
      <xdr:col>4</xdr:col>
      <xdr:colOff>273050</xdr:colOff>
      <xdr:row>22</xdr:row>
      <xdr:rowOff>57150</xdr:rowOff>
    </xdr:to>
    <xdr:sp macro="" textlink="">
      <xdr:nvSpPr>
        <xdr:cNvPr id="38" name="TextBox 37">
          <a:extLst>
            <a:ext uri="{FF2B5EF4-FFF2-40B4-BE49-F238E27FC236}">
              <a16:creationId xmlns:a16="http://schemas.microsoft.com/office/drawing/2014/main" id="{824E482A-7D28-4F81-A5DE-1A532C1F39F2}"/>
            </a:ext>
          </a:extLst>
        </xdr:cNvPr>
        <xdr:cNvSpPr txBox="1"/>
      </xdr:nvSpPr>
      <xdr:spPr>
        <a:xfrm>
          <a:off x="977900" y="3962400"/>
          <a:ext cx="927100" cy="1460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latin typeface="+mj-lt"/>
            </a:rPr>
            <a:t>Avg</a:t>
          </a:r>
          <a:r>
            <a:rPr lang="en-IN" sz="1100" b="1" baseline="0">
              <a:solidFill>
                <a:srgbClr val="002060"/>
              </a:solidFill>
              <a:latin typeface="+mj-lt"/>
            </a:rPr>
            <a:t> rating</a:t>
          </a:r>
          <a:endParaRPr lang="en-IN" sz="1100" b="1">
            <a:solidFill>
              <a:srgbClr val="002060"/>
            </a:solidFill>
            <a:latin typeface="+mj-lt"/>
          </a:endParaRPr>
        </a:p>
      </xdr:txBody>
    </xdr:sp>
    <xdr:clientData/>
  </xdr:twoCellAnchor>
  <xdr:twoCellAnchor editAs="oneCell">
    <xdr:from>
      <xdr:col>2</xdr:col>
      <xdr:colOff>423916</xdr:colOff>
      <xdr:row>21</xdr:row>
      <xdr:rowOff>50801</xdr:rowOff>
    </xdr:from>
    <xdr:to>
      <xdr:col>3</xdr:col>
      <xdr:colOff>42915</xdr:colOff>
      <xdr:row>22</xdr:row>
      <xdr:rowOff>95250</xdr:rowOff>
    </xdr:to>
    <xdr:pic>
      <xdr:nvPicPr>
        <xdr:cNvPr id="39" name="Graphic 38">
          <a:extLst>
            <a:ext uri="{FF2B5EF4-FFF2-40B4-BE49-F238E27FC236}">
              <a16:creationId xmlns:a16="http://schemas.microsoft.com/office/drawing/2014/main" id="{17C5B284-431A-43BF-AA45-545841E782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36666" y="3917951"/>
          <a:ext cx="228599" cy="228599"/>
        </a:xfrm>
        <a:prstGeom prst="rect">
          <a:avLst/>
        </a:prstGeom>
        <a:effectLst>
          <a:outerShdw blurRad="50800" dist="38100" dir="5400000" algn="t" rotWithShape="0">
            <a:prstClr val="black">
              <a:alpha val="40000"/>
            </a:prstClr>
          </a:outerShdw>
        </a:effectLst>
      </xdr:spPr>
    </xdr:pic>
    <xdr:clientData/>
  </xdr:twoCellAnchor>
  <xdr:twoCellAnchor>
    <xdr:from>
      <xdr:col>3</xdr:col>
      <xdr:colOff>107950</xdr:colOff>
      <xdr:row>23</xdr:row>
      <xdr:rowOff>146050</xdr:rowOff>
    </xdr:from>
    <xdr:to>
      <xdr:col>3</xdr:col>
      <xdr:colOff>603250</xdr:colOff>
      <xdr:row>24</xdr:row>
      <xdr:rowOff>127000</xdr:rowOff>
    </xdr:to>
    <xdr:sp macro="" textlink="'Pivots '!D10">
      <xdr:nvSpPr>
        <xdr:cNvPr id="40" name="TextBox 39">
          <a:extLst>
            <a:ext uri="{FF2B5EF4-FFF2-40B4-BE49-F238E27FC236}">
              <a16:creationId xmlns:a16="http://schemas.microsoft.com/office/drawing/2014/main" id="{5E08642C-0B35-47B2-8DA0-012368DEE2B1}"/>
            </a:ext>
          </a:extLst>
        </xdr:cNvPr>
        <xdr:cNvSpPr txBox="1"/>
      </xdr:nvSpPr>
      <xdr:spPr>
        <a:xfrm>
          <a:off x="1130300" y="4381500"/>
          <a:ext cx="495300" cy="1651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6FB5F1-B384-4C2B-8DC4-BC7DF213576F}" type="TxLink">
            <a:rPr lang="en-US" sz="1100" b="0" i="0" u="none" strike="noStrike">
              <a:solidFill>
                <a:srgbClr val="002060"/>
              </a:solidFill>
              <a:latin typeface="Berlin Sans FB" panose="020E0602020502020306" pitchFamily="34" charset="0"/>
              <a:ea typeface="Calibri"/>
              <a:cs typeface="Calibri"/>
            </a:rPr>
            <a:pPr algn="ctr"/>
            <a:t>4</a:t>
          </a:fld>
          <a:endParaRPr lang="en-IN" sz="1100" b="1">
            <a:solidFill>
              <a:srgbClr val="002060"/>
            </a:solidFill>
            <a:latin typeface="Berlin Sans FB" panose="020E0602020502020306" pitchFamily="34" charset="0"/>
          </a:endParaRPr>
        </a:p>
      </xdr:txBody>
    </xdr:sp>
    <xdr:clientData/>
  </xdr:twoCellAnchor>
  <xdr:twoCellAnchor>
    <xdr:from>
      <xdr:col>2</xdr:col>
      <xdr:colOff>425450</xdr:colOff>
      <xdr:row>27</xdr:row>
      <xdr:rowOff>120650</xdr:rowOff>
    </xdr:from>
    <xdr:to>
      <xdr:col>4</xdr:col>
      <xdr:colOff>273050</xdr:colOff>
      <xdr:row>31</xdr:row>
      <xdr:rowOff>44450</xdr:rowOff>
    </xdr:to>
    <xdr:sp macro="" textlink="'Pivots '!E4">
      <xdr:nvSpPr>
        <xdr:cNvPr id="41" name="Rectangle 40">
          <a:extLst>
            <a:ext uri="{FF2B5EF4-FFF2-40B4-BE49-F238E27FC236}">
              <a16:creationId xmlns:a16="http://schemas.microsoft.com/office/drawing/2014/main" id="{51437D56-CF7C-4BE2-8325-1DB3F0451D86}"/>
            </a:ext>
          </a:extLst>
        </xdr:cNvPr>
        <xdr:cNvSpPr/>
      </xdr:nvSpPr>
      <xdr:spPr>
        <a:xfrm>
          <a:off x="838200" y="5092700"/>
          <a:ext cx="1066800" cy="660400"/>
        </a:xfrm>
        <a:prstGeom prst="rect">
          <a:avLst/>
        </a:prstGeom>
        <a:solidFill>
          <a:schemeClr val="accent1">
            <a:lumMod val="60000"/>
            <a:lumOff val="40000"/>
          </a:schemeClr>
        </a:solidFill>
        <a:ln>
          <a:solidFill>
            <a:schemeClr val="accent1">
              <a:lumMod val="60000"/>
              <a:lumOff val="40000"/>
            </a:schemeClr>
          </a:solidFill>
        </a:ln>
        <a:effectLst>
          <a:outerShdw blurRad="50800" dist="38100" algn="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indent="0" algn="ctr"/>
          <a:fld id="{67B317BF-401F-407B-9B8B-D86AC339D860}" type="TxLink">
            <a:rPr lang="en-US" sz="1800" b="0" i="0" u="none" strike="noStrike">
              <a:solidFill>
                <a:srgbClr val="002060"/>
              </a:solidFill>
              <a:latin typeface="Berlin Sans FB Demi" panose="020E0802020502020306" pitchFamily="34" charset="0"/>
              <a:ea typeface="Calibri"/>
              <a:cs typeface="Calibri"/>
            </a:rPr>
            <a:pPr marL="0" indent="0" algn="ctr"/>
            <a:t>307</a:t>
          </a:fld>
          <a:endParaRPr lang="en-IN" sz="18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2</xdr:col>
      <xdr:colOff>577850</xdr:colOff>
      <xdr:row>27</xdr:row>
      <xdr:rowOff>152400</xdr:rowOff>
    </xdr:from>
    <xdr:to>
      <xdr:col>4</xdr:col>
      <xdr:colOff>298450</xdr:colOff>
      <xdr:row>28</xdr:row>
      <xdr:rowOff>107950</xdr:rowOff>
    </xdr:to>
    <xdr:sp macro="" textlink="">
      <xdr:nvSpPr>
        <xdr:cNvPr id="42" name="TextBox 41">
          <a:extLst>
            <a:ext uri="{FF2B5EF4-FFF2-40B4-BE49-F238E27FC236}">
              <a16:creationId xmlns:a16="http://schemas.microsoft.com/office/drawing/2014/main" id="{6DCD3EEF-2640-4A5F-98C6-DCC72318AEBB}"/>
            </a:ext>
          </a:extLst>
        </xdr:cNvPr>
        <xdr:cNvSpPr txBox="1"/>
      </xdr:nvSpPr>
      <xdr:spPr>
        <a:xfrm>
          <a:off x="990600" y="5124450"/>
          <a:ext cx="939800" cy="1397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rgbClr val="002060"/>
              </a:solidFill>
              <a:latin typeface="+mj-lt"/>
            </a:rPr>
            <a:t>Happy</a:t>
          </a:r>
          <a:r>
            <a:rPr lang="en-IN" sz="900" b="1" baseline="0">
              <a:solidFill>
                <a:srgbClr val="002060"/>
              </a:solidFill>
              <a:latin typeface="+mj-lt"/>
            </a:rPr>
            <a:t> calls</a:t>
          </a:r>
          <a:endParaRPr lang="en-IN" sz="900" b="1">
            <a:solidFill>
              <a:srgbClr val="002060"/>
            </a:solidFill>
            <a:latin typeface="+mj-lt"/>
          </a:endParaRPr>
        </a:p>
      </xdr:txBody>
    </xdr:sp>
    <xdr:clientData/>
  </xdr:twoCellAnchor>
  <xdr:twoCellAnchor editAs="oneCell">
    <xdr:from>
      <xdr:col>2</xdr:col>
      <xdr:colOff>430266</xdr:colOff>
      <xdr:row>27</xdr:row>
      <xdr:rowOff>120651</xdr:rowOff>
    </xdr:from>
    <xdr:to>
      <xdr:col>3</xdr:col>
      <xdr:colOff>49265</xdr:colOff>
      <xdr:row>28</xdr:row>
      <xdr:rowOff>165100</xdr:rowOff>
    </xdr:to>
    <xdr:pic>
      <xdr:nvPicPr>
        <xdr:cNvPr id="43" name="Graphic 42">
          <a:extLst>
            <a:ext uri="{FF2B5EF4-FFF2-40B4-BE49-F238E27FC236}">
              <a16:creationId xmlns:a16="http://schemas.microsoft.com/office/drawing/2014/main" id="{2DAC0B3A-E9E0-4ED8-96D3-72557676B1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843016" y="5092701"/>
          <a:ext cx="228599" cy="228599"/>
        </a:xfrm>
        <a:prstGeom prst="rect">
          <a:avLst/>
        </a:prstGeom>
        <a:effectLst>
          <a:outerShdw blurRad="50800" dist="38100" dir="5400000" algn="t" rotWithShape="0">
            <a:prstClr val="black">
              <a:alpha val="40000"/>
            </a:prstClr>
          </a:outerShdw>
        </a:effectLst>
      </xdr:spPr>
    </xdr:pic>
    <xdr:clientData/>
  </xdr:twoCellAnchor>
  <xdr:twoCellAnchor>
    <xdr:from>
      <xdr:col>3</xdr:col>
      <xdr:colOff>114300</xdr:colOff>
      <xdr:row>30</xdr:row>
      <xdr:rowOff>31750</xdr:rowOff>
    </xdr:from>
    <xdr:to>
      <xdr:col>4</xdr:col>
      <xdr:colOff>0</xdr:colOff>
      <xdr:row>31</xdr:row>
      <xdr:rowOff>12700</xdr:rowOff>
    </xdr:to>
    <xdr:sp macro="" textlink="'Pivots '!E10">
      <xdr:nvSpPr>
        <xdr:cNvPr id="44" name="TextBox 43">
          <a:extLst>
            <a:ext uri="{FF2B5EF4-FFF2-40B4-BE49-F238E27FC236}">
              <a16:creationId xmlns:a16="http://schemas.microsoft.com/office/drawing/2014/main" id="{95FA3E88-722E-4C12-A25B-E421FB54FD39}"/>
            </a:ext>
          </a:extLst>
        </xdr:cNvPr>
        <xdr:cNvSpPr txBox="1"/>
      </xdr:nvSpPr>
      <xdr:spPr>
        <a:xfrm>
          <a:off x="1136650" y="5556250"/>
          <a:ext cx="495300" cy="1651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D183B0-5060-4AB5-82D3-FC638A818ECF}" type="TxLink">
            <a:rPr lang="en-US" sz="1100" b="0" i="0" u="none" strike="noStrike">
              <a:solidFill>
                <a:srgbClr val="002060"/>
              </a:solidFill>
              <a:latin typeface="Berlin Sans FB" panose="020E0602020502020306" pitchFamily="34" charset="0"/>
              <a:ea typeface="Calibri"/>
              <a:cs typeface="Calibri"/>
            </a:rPr>
            <a:pPr algn="ctr"/>
            <a:t>62</a:t>
          </a:fld>
          <a:endParaRPr lang="en-IN" sz="1100" b="1">
            <a:solidFill>
              <a:srgbClr val="002060"/>
            </a:solidFill>
            <a:latin typeface="Berlin Sans FB" panose="020E0602020502020306" pitchFamily="34" charset="0"/>
          </a:endParaRPr>
        </a:p>
      </xdr:txBody>
    </xdr:sp>
    <xdr:clientData/>
  </xdr:twoCellAnchor>
  <xdr:twoCellAnchor editAs="oneCell">
    <xdr:from>
      <xdr:col>21</xdr:col>
      <xdr:colOff>102634</xdr:colOff>
      <xdr:row>20</xdr:row>
      <xdr:rowOff>60196</xdr:rowOff>
    </xdr:from>
    <xdr:to>
      <xdr:col>23</xdr:col>
      <xdr:colOff>463526</xdr:colOff>
      <xdr:row>29</xdr:row>
      <xdr:rowOff>145686</xdr:rowOff>
    </xdr:to>
    <mc:AlternateContent xmlns:mc="http://schemas.openxmlformats.org/markup-compatibility/2006" xmlns:a14="http://schemas.microsoft.com/office/drawing/2010/main">
      <mc:Choice Requires="a14">
        <xdr:graphicFrame macro="">
          <xdr:nvGraphicFramePr>
            <xdr:cNvPr id="45" name="Representative">
              <a:extLst>
                <a:ext uri="{FF2B5EF4-FFF2-40B4-BE49-F238E27FC236}">
                  <a16:creationId xmlns:a16="http://schemas.microsoft.com/office/drawing/2014/main" id="{186F9E60-2F8C-411D-83BC-8F73A7B0C2C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1855907" y="4193469"/>
              <a:ext cx="1584710" cy="1748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xdr:row>
      <xdr:rowOff>0</xdr:rowOff>
    </xdr:from>
    <xdr:to>
      <xdr:col>12</xdr:col>
      <xdr:colOff>501650</xdr:colOff>
      <xdr:row>15</xdr:row>
      <xdr:rowOff>168275</xdr:rowOff>
    </xdr:to>
    <xdr:graphicFrame macro="">
      <xdr:nvGraphicFramePr>
        <xdr:cNvPr id="46" name="Chart 45">
          <a:extLst>
            <a:ext uri="{FF2B5EF4-FFF2-40B4-BE49-F238E27FC236}">
              <a16:creationId xmlns:a16="http://schemas.microsoft.com/office/drawing/2014/main" id="{91564AA9-7AC8-43F7-8748-DC29234F0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508000</xdr:colOff>
      <xdr:row>1</xdr:row>
      <xdr:rowOff>177800</xdr:rowOff>
    </xdr:from>
    <xdr:to>
      <xdr:col>17</xdr:col>
      <xdr:colOff>31750</xdr:colOff>
      <xdr:row>15</xdr:row>
      <xdr:rowOff>167569</xdr:rowOff>
    </xdr:to>
    <xdr:graphicFrame macro="">
      <xdr:nvGraphicFramePr>
        <xdr:cNvPr id="47" name="Chart 46">
          <a:extLst>
            <a:ext uri="{FF2B5EF4-FFF2-40B4-BE49-F238E27FC236}">
              <a16:creationId xmlns:a16="http://schemas.microsoft.com/office/drawing/2014/main" id="{4708630C-EECA-42B1-B6EE-90F4AA795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0</xdr:colOff>
      <xdr:row>20</xdr:row>
      <xdr:rowOff>0</xdr:rowOff>
    </xdr:from>
    <xdr:to>
      <xdr:col>13</xdr:col>
      <xdr:colOff>311208</xdr:colOff>
      <xdr:row>35</xdr:row>
      <xdr:rowOff>36306</xdr:rowOff>
    </xdr:to>
    <xdr:graphicFrame macro="">
      <xdr:nvGraphicFramePr>
        <xdr:cNvPr id="5" name="Chart 4">
          <a:extLst>
            <a:ext uri="{FF2B5EF4-FFF2-40B4-BE49-F238E27FC236}">
              <a16:creationId xmlns:a16="http://schemas.microsoft.com/office/drawing/2014/main" id="{2BA96070-858C-4103-BCA9-EBBE8F204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317500</xdr:colOff>
      <xdr:row>20</xdr:row>
      <xdr:rowOff>11759</xdr:rowOff>
    </xdr:from>
    <xdr:to>
      <xdr:col>21</xdr:col>
      <xdr:colOff>17224</xdr:colOff>
      <xdr:row>35</xdr:row>
      <xdr:rowOff>48065</xdr:rowOff>
    </xdr:to>
    <xdr:graphicFrame macro="">
      <xdr:nvGraphicFramePr>
        <xdr:cNvPr id="6" name="Chart 5">
          <a:extLst>
            <a:ext uri="{FF2B5EF4-FFF2-40B4-BE49-F238E27FC236}">
              <a16:creationId xmlns:a16="http://schemas.microsoft.com/office/drawing/2014/main" id="{05191419-D89F-4B56-A3E1-621D91C33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438857</xdr:colOff>
      <xdr:row>2</xdr:row>
      <xdr:rowOff>37489</xdr:rowOff>
    </xdr:from>
    <xdr:to>
      <xdr:col>23</xdr:col>
      <xdr:colOff>134119</xdr:colOff>
      <xdr:row>16</xdr:row>
      <xdr:rowOff>36623</xdr:rowOff>
    </xdr:to>
    <xdr:graphicFrame macro="">
      <xdr:nvGraphicFramePr>
        <xdr:cNvPr id="7" name="Chart 6">
          <a:extLst>
            <a:ext uri="{FF2B5EF4-FFF2-40B4-BE49-F238E27FC236}">
              <a16:creationId xmlns:a16="http://schemas.microsoft.com/office/drawing/2014/main" id="{E8186DBA-7F1F-4B70-9F92-CF17A3B8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143773</xdr:colOff>
      <xdr:row>2</xdr:row>
      <xdr:rowOff>35943</xdr:rowOff>
    </xdr:from>
    <xdr:to>
      <xdr:col>27</xdr:col>
      <xdr:colOff>482985</xdr:colOff>
      <xdr:row>16</xdr:row>
      <xdr:rowOff>23276</xdr:rowOff>
    </xdr:to>
    <xdr:graphicFrame macro="">
      <xdr:nvGraphicFramePr>
        <xdr:cNvPr id="9" name="Chart 8">
          <a:extLst>
            <a:ext uri="{FF2B5EF4-FFF2-40B4-BE49-F238E27FC236}">
              <a16:creationId xmlns:a16="http://schemas.microsoft.com/office/drawing/2014/main" id="{5CE9F3C1-F127-4D4A-84AF-E30C0A683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07.586506018517" backgroundQuery="1" createdVersion="8" refreshedVersion="8" minRefreshableVersion="3" recordCount="0" supportSubquery="1" supportAdvancedDrill="1" xr:uid="{B763DE68-0531-42C4-BAD5-2A51F4FEA2C1}">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07.610232175924" backgroundQuery="1" createdVersion="8" refreshedVersion="8" minRefreshableVersion="3" recordCount="0" supportSubquery="1" supportAdvancedDrill="1" xr:uid="{6142510A-A02F-4EC5-B5CD-64700F3FA786}">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11.916956712965" backgroundQuery="1" createdVersion="8" refreshedVersion="8" minRefreshableVersion="3" recordCount="0" supportSubquery="1" supportAdvancedDrill="1" xr:uid="{D2198206-DD8A-4A53-9D7E-6BF76FEC0EBB}">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11.939869560185" backgroundQuery="1" createdVersion="8" refreshedVersion="8" minRefreshableVersion="3" recordCount="0" supportSubquery="1" supportAdvancedDrill="1" xr:uid="{B65FF94A-7CCF-4787-AE80-26797B481512}">
  <cacheSource type="external" connectionId="1"/>
  <cacheFields count="4">
    <cacheField name="[calls].[Representative].[Representative]" caption="Representative" numFmtId="0" hierarchy="3" level="1">
      <sharedItems count="5">
        <s v="R01"/>
        <s v="R02"/>
        <s v="R03"/>
        <s v="R04"/>
        <s v="R05"/>
      </sharedItems>
    </cacheField>
    <cacheField name="[Measures].[Sum of Purchase Amount]" caption="Sum of Purchase Amount" numFmtId="0" hierarchy="26"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36.891616898145" backgroundQuery="1" createdVersion="8" refreshedVersion="8" minRefreshableVersion="3" recordCount="0" supportSubquery="1" supportAdvancedDrill="1" xr:uid="{D70A1F63-2676-48E0-A490-E8C12328069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36.891620486109" backgroundQuery="1" createdVersion="8" refreshedVersion="8" minRefreshableVersion="3" recordCount="0" supportSubquery="1" supportAdvancedDrill="1" xr:uid="{3F0B1D00-77BF-4577-9D05-656D673A22DA}">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36.89162372685" backgroundQuery="1" createdVersion="8" refreshedVersion="8" minRefreshableVersion="3" recordCount="0" supportSubquery="1" supportAdvancedDrill="1" xr:uid="{CFFEE625-D966-42EC-A2BC-9488E4A48335}">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36.891625115742" backgroundQuery="1" createdVersion="8" refreshedVersion="8" minRefreshableVersion="3" recordCount="0" supportSubquery="1" supportAdvancedDrill="1" xr:uid="{F234545C-1C39-41A2-899B-E44F831E839A}">
  <cacheSource type="external" connectionId="1"/>
  <cacheFields count="1">
    <cacheField name="[calls].[Representative].[Representative]" caption="Representative" numFmtId="0" hierarchy="3" level="1">
      <sharedItems count="1">
        <s v="R0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36.891628124999" backgroundQuery="1" createdVersion="8" refreshedVersion="8" minRefreshableVersion="3" recordCount="0" supportSubquery="1" supportAdvancedDrill="1" xr:uid="{14D52039-EE49-4129-81D1-7B0929FE085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a aleem" refreshedDate="46107.586501273145" backgroundQuery="1" createdVersion="3" refreshedVersion="8" minRefreshableVersion="3" recordCount="0" supportSubquery="1" supportAdvancedDrill="1" xr:uid="{58A1B5FE-9952-413A-8ED2-056C411E67A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26931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F550F-CF2E-4EB4-AC52-2AC2B9F8B4E1}" name="summary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586F6B-0B38-40F6-9814-0CB752CA635F}"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59E5B2-D58C-468E-8178-45CF2BCFF1C1}" name="REP2"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H58:H5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A8C8F7-11F7-4332-BB69-87192C174EDA}" name="PivotTable4"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1">
  <location ref="I71:O90"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1" baseField="0" baseItem="0" numFmtId="166"/>
  </dataFields>
  <formats count="15">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fieldPosition="0">
        <references count="2">
          <reference field="2" count="1" selected="0">
            <x v="0"/>
          </reference>
          <reference field="3" count="4">
            <x v="0"/>
            <x v="1"/>
            <x v="2"/>
            <x v="3"/>
          </reference>
        </references>
      </pivotArea>
    </format>
    <format dxfId="11">
      <pivotArea dataOnly="0" labelOnly="1" fieldPosition="0">
        <references count="2">
          <reference field="2" count="1" selected="0">
            <x v="1"/>
          </reference>
          <reference field="3" count="6">
            <x v="4"/>
            <x v="5"/>
            <x v="6"/>
            <x v="7"/>
            <x v="8"/>
            <x v="9"/>
          </reference>
        </references>
      </pivotArea>
    </format>
    <format dxfId="10">
      <pivotArea dataOnly="0" labelOnly="1" fieldPosition="0">
        <references count="2">
          <reference field="2" count="1" selected="0">
            <x v="2"/>
          </reference>
          <reference field="3" count="5">
            <x v="10"/>
            <x v="11"/>
            <x v="12"/>
            <x v="13"/>
            <x v="14"/>
          </reference>
        </references>
      </pivotArea>
    </format>
    <format dxfId="9">
      <pivotArea dataOnly="0" labelOnly="1" fieldPosition="0">
        <references count="1">
          <reference field="0" count="0"/>
        </references>
      </pivotArea>
    </format>
    <format dxfId="8">
      <pivotArea dataOnly="0" labelOnly="1" grandCol="1" outline="0" fieldPosition="0"/>
    </format>
    <format dxfId="7">
      <pivotArea collapsedLevelsAreSubtotals="1" fieldPosition="0">
        <references count="2">
          <reference field="2" count="1" selected="0">
            <x v="0"/>
          </reference>
          <reference field="3" count="4">
            <x v="0"/>
            <x v="1"/>
            <x v="2"/>
            <x v="3"/>
          </reference>
        </references>
      </pivotArea>
    </format>
    <format dxfId="6">
      <pivotArea collapsedLevelsAreSubtotals="1" fieldPosition="0">
        <references count="1">
          <reference field="2" count="1">
            <x v="1"/>
          </reference>
        </references>
      </pivotArea>
    </format>
    <format dxfId="5">
      <pivotArea collapsedLevelsAreSubtotals="1" fieldPosition="0">
        <references count="2">
          <reference field="2" count="1" selected="0">
            <x v="1"/>
          </reference>
          <reference field="3" count="6">
            <x v="4"/>
            <x v="5"/>
            <x v="6"/>
            <x v="7"/>
            <x v="8"/>
            <x v="9"/>
          </reference>
        </references>
      </pivotArea>
    </format>
    <format dxfId="4">
      <pivotArea collapsedLevelsAreSubtotals="1" fieldPosition="0">
        <references count="1">
          <reference field="2" count="1">
            <x v="2"/>
          </reference>
        </references>
      </pivotArea>
    </format>
    <format dxfId="3">
      <pivotArea collapsedLevelsAreSubtotals="1" fieldPosition="0">
        <references count="2">
          <reference field="2" count="1" selected="0">
            <x v="2"/>
          </reference>
          <reference field="3" count="5">
            <x v="10"/>
            <x v="11"/>
            <x v="12"/>
            <x v="13"/>
            <x v="14"/>
          </reference>
        </references>
      </pivotArea>
    </format>
    <format dxfId="2">
      <pivotArea grandRow="1" outline="0" collapsedLevelsAreSubtotals="1" fieldPosition="0"/>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52C7D3-769B-448D-8BC4-274B535EA91E}" name="rating rep"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K33:L3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C959F3-8A8E-4743-B237-D7EB516C889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3:I3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1F0398-A766-4D39-9DAF-8DCA9BFC96B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L2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name="Sum of Purchase Amount"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2B34A7-0599-4575-BA47-6532F0EB07E7}" name="dail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22:G3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7">
        <item x="2"/>
        <item x="0"/>
        <item x="4"/>
        <item x="6"/>
        <item x="5"/>
        <item x="1"/>
        <item x="3"/>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300512-9F9C-4483-9606-5A10035C3243}" name="monthly"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3</v>
    <v>4</v>
    <v>Young businessman writing on notebook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352AD17-D44A-45BC-B991-056F1E70DDC6}" sourceName="[calls].[Representative]">
  <pivotTables>
    <pivotTable tabId="6" name="summary1"/>
    <pivotTable tabId="6" name="monthly"/>
    <pivotTable tabId="6" name="daily"/>
    <pivotTable tabId="6" name="REP2"/>
    <pivotTable tabId="6" name="rating rep"/>
  </pivotTables>
  <data>
    <olap pivotCacheId="138269317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0DEFD11-5EA8-4286-8CD5-9043BD52BCE3}" cache="Slicer_Representative" caption="Representativ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0"/>
    <tableColumn id="5" xr3:uid="{5A35565E-8707-4DED-AD15-A0669D67B382}" name="Date of Call" dataDxfId="29"/>
    <tableColumn id="6" xr3:uid="{F2E4F158-B41F-47BC-8DF8-DFCADFEE4E40}" name="Purchase Amount"/>
    <tableColumn id="7" xr3:uid="{04B291B5-47BD-4F78-8FD8-D1551CCA6BD9}" name="Satisfaction Rating"/>
    <tableColumn id="8" xr3:uid="{6E4123C0-0B17-43B8-A142-A1E540CE974C}" name="FY" dataDxfId="28">
      <calculatedColumnFormula>IF(MONTH(calls[[#This Row],[Date of Call]])&lt;=6, YEAR(calls[[#This Row],[Date of Call]]), YEAR(calls[[#This Row],[Date of Call]])+1)</calculatedColumnFormula>
    </tableColumn>
    <tableColumn id="9" xr3:uid="{199FA271-5E9B-46CE-9BC6-2801F92CD17E}" name="Day of week" dataDxfId="27">
      <calculatedColumnFormula>TEXT(calls[[#This Row],[Date of Call]],"DDDD")</calculatedColumnFormula>
    </tableColumn>
    <tableColumn id="10" xr3:uid="{328CDB09-95B8-4D5E-9ED9-EF0D363735A1}"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4" headerRowBorderDxfId="23" tableBorderDxfId="22" totalsRowBorderDxfId="21">
  <autoFilter ref="Q3:T18" xr:uid="{27158F51-A707-4171-8A04-81FB0AABCBA5}"/>
  <tableColumns count="4">
    <tableColumn id="1" xr3:uid="{02688061-6A8C-4E23-B7FF-D00CD8B58CAC}" name="Customer ID" dataDxfId="20"/>
    <tableColumn id="2" xr3:uid="{771678B6-DB44-426B-9874-B4E421A440D5}" name="Gedner" dataDxfId="19"/>
    <tableColumn id="3" xr3:uid="{B0D41C62-587E-494D-B49A-603F2C05F8D3}" name="Age" dataDxfId="18"/>
    <tableColumn id="4" xr3:uid="{663F92D6-FE31-4D81-9E01-8D066DDC8A88}"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ustom 2">
      <a:majorFont>
        <a:latin typeface="Georgia"/>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5" x14ac:dyDescent="0.35"/>
  <cols>
    <col min="5" max="5" width="10.90625" customWidth="1"/>
    <col min="6" max="6" width="9.90625" customWidth="1"/>
  </cols>
  <sheetData>
    <row r="2" spans="5:6" x14ac:dyDescent="0.35">
      <c r="E2" t="s">
        <v>1040</v>
      </c>
      <c r="F2" t="s">
        <v>1041</v>
      </c>
    </row>
    <row r="3" spans="5:6" ht="25.5" customHeight="1" x14ac:dyDescent="0.35">
      <c r="E3" t="s">
        <v>11</v>
      </c>
      <c r="F3" t="e" vm="1">
        <v>#VALUE!</v>
      </c>
    </row>
    <row r="4" spans="5:6" ht="25.5" customHeight="1" x14ac:dyDescent="0.35">
      <c r="E4" t="s">
        <v>9</v>
      </c>
      <c r="F4" t="e" vm="2">
        <v>#VALUE!</v>
      </c>
    </row>
    <row r="5" spans="5:6" ht="25.5" customHeight="1" x14ac:dyDescent="0.35">
      <c r="E5" t="s">
        <v>6</v>
      </c>
      <c r="F5" t="e" vm="3">
        <v>#VALUE!</v>
      </c>
    </row>
    <row r="6" spans="5:6" ht="25.5" customHeight="1" x14ac:dyDescent="0.35">
      <c r="E6" t="s">
        <v>13</v>
      </c>
      <c r="F6" t="e" vm="4">
        <v>#VALUE!</v>
      </c>
    </row>
    <row r="7" spans="5:6" ht="25.5" customHeight="1" x14ac:dyDescent="0.35">
      <c r="E7" t="s">
        <v>10</v>
      </c>
      <c r="F7" t="e" vm="5">
        <v>#VALUE!</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6" zoomScaleNormal="115" workbookViewId="0">
      <selection activeCell="C16" sqref="C16"/>
    </sheetView>
  </sheetViews>
  <sheetFormatPr defaultRowHeight="14.5" x14ac:dyDescent="0.35"/>
  <cols>
    <col min="1" max="1" width="3.54296875" customWidth="1"/>
    <col min="2" max="2" width="14.6328125" customWidth="1"/>
    <col min="3" max="3" width="12.90625" customWidth="1"/>
    <col min="4" max="4" width="16.6328125" customWidth="1"/>
    <col min="5" max="5" width="15.08984375" customWidth="1"/>
    <col min="6" max="6" width="16.1796875" customWidth="1"/>
    <col min="7" max="7" width="17.26953125" customWidth="1"/>
    <col min="8" max="8" width="18.36328125" customWidth="1"/>
    <col min="9" max="9" width="17.26953125" customWidth="1"/>
    <col min="10" max="12" width="15.54296875" customWidth="1"/>
    <col min="13" max="16" width="7.54296875" customWidth="1"/>
    <col min="17" max="17" width="14.6328125" customWidth="1"/>
    <col min="20" max="20" width="10.6328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A289-2BF6-4C98-BE23-9B06665BA405}">
  <dimension ref="A3:P91"/>
  <sheetViews>
    <sheetView topLeftCell="D53" zoomScale="93" zoomScaleNormal="78" workbookViewId="0">
      <selection activeCell="P67" sqref="P67"/>
    </sheetView>
  </sheetViews>
  <sheetFormatPr defaultRowHeight="14.5" x14ac:dyDescent="0.35"/>
  <cols>
    <col min="1" max="1" width="12.90625" bestFit="1" customWidth="1"/>
    <col min="2" max="2" width="9.1796875" bestFit="1" customWidth="1"/>
    <col min="3" max="3" width="10.26953125" bestFit="1" customWidth="1"/>
    <col min="4" max="4" width="10.08984375" bestFit="1" customWidth="1"/>
    <col min="5" max="5" width="7" bestFit="1" customWidth="1"/>
    <col min="6" max="6" width="12.90625" bestFit="1" customWidth="1"/>
    <col min="7" max="7" width="9.1796875" bestFit="1" customWidth="1"/>
    <col min="8" max="8" width="12.90625" bestFit="1" customWidth="1"/>
    <col min="9" max="9" width="22.453125" bestFit="1" customWidth="1"/>
    <col min="10" max="10" width="15.54296875" bestFit="1" customWidth="1"/>
    <col min="11" max="11" width="12.90625" bestFit="1" customWidth="1"/>
    <col min="12" max="12" width="9.1796875" bestFit="1" customWidth="1"/>
    <col min="13" max="14" width="7.81640625" bestFit="1" customWidth="1"/>
    <col min="15" max="15" width="11.81640625" bestFit="1" customWidth="1"/>
  </cols>
  <sheetData>
    <row r="3" spans="1:5" x14ac:dyDescent="0.35">
      <c r="A3" t="s">
        <v>1042</v>
      </c>
      <c r="B3" t="s">
        <v>1043</v>
      </c>
      <c r="C3" t="s">
        <v>1044</v>
      </c>
      <c r="D3" t="s">
        <v>1045</v>
      </c>
      <c r="E3" t="s">
        <v>1046</v>
      </c>
    </row>
    <row r="4" spans="1:5" x14ac:dyDescent="0.35">
      <c r="A4" s="20">
        <v>1000</v>
      </c>
      <c r="B4" s="20">
        <v>96623</v>
      </c>
      <c r="C4" s="20">
        <v>89850</v>
      </c>
      <c r="D4" s="20">
        <v>3.8854000000000033</v>
      </c>
      <c r="E4" s="20">
        <v>307</v>
      </c>
    </row>
    <row r="9" spans="1:5" x14ac:dyDescent="0.35">
      <c r="A9" t="s">
        <v>1042</v>
      </c>
      <c r="B9" t="s">
        <v>1043</v>
      </c>
      <c r="C9" t="s">
        <v>1044</v>
      </c>
      <c r="D9" t="s">
        <v>1045</v>
      </c>
      <c r="E9" t="s">
        <v>1046</v>
      </c>
    </row>
    <row r="10" spans="1:5" x14ac:dyDescent="0.35">
      <c r="A10" s="20">
        <v>186</v>
      </c>
      <c r="B10" s="20">
        <v>16651</v>
      </c>
      <c r="C10" s="20">
        <v>17807</v>
      </c>
      <c r="D10" s="20">
        <v>3.8973118279569863</v>
      </c>
      <c r="E10" s="20">
        <v>62</v>
      </c>
    </row>
    <row r="22" spans="1:12" x14ac:dyDescent="0.35">
      <c r="A22" s="21" t="s">
        <v>1047</v>
      </c>
      <c r="B22" t="s">
        <v>1042</v>
      </c>
      <c r="C22" t="s">
        <v>1061</v>
      </c>
      <c r="F22" s="21" t="s">
        <v>1047</v>
      </c>
      <c r="G22" t="s">
        <v>1042</v>
      </c>
      <c r="J22" s="21" t="s">
        <v>1047</v>
      </c>
      <c r="K22" t="s">
        <v>1042</v>
      </c>
      <c r="L22" t="s">
        <v>1069</v>
      </c>
    </row>
    <row r="23" spans="1:12" x14ac:dyDescent="0.35">
      <c r="A23" s="24" t="s">
        <v>1049</v>
      </c>
      <c r="B23" s="20">
        <v>10</v>
      </c>
      <c r="C23" s="20">
        <v>10</v>
      </c>
      <c r="F23" s="24" t="s">
        <v>1068</v>
      </c>
      <c r="G23" s="20">
        <v>34</v>
      </c>
      <c r="J23" s="24" t="s">
        <v>11</v>
      </c>
      <c r="K23" s="20">
        <v>189</v>
      </c>
      <c r="L23">
        <v>18415</v>
      </c>
    </row>
    <row r="24" spans="1:12" x14ac:dyDescent="0.35">
      <c r="A24" s="24" t="s">
        <v>1050</v>
      </c>
      <c r="B24" s="20">
        <v>11</v>
      </c>
      <c r="C24" s="20">
        <v>11</v>
      </c>
      <c r="F24" s="24" t="s">
        <v>1067</v>
      </c>
      <c r="G24" s="20">
        <v>29</v>
      </c>
      <c r="J24" s="24" t="s">
        <v>9</v>
      </c>
      <c r="K24" s="20">
        <v>218</v>
      </c>
      <c r="L24">
        <v>20581</v>
      </c>
    </row>
    <row r="25" spans="1:12" x14ac:dyDescent="0.35">
      <c r="A25" s="24" t="s">
        <v>1051</v>
      </c>
      <c r="B25" s="20">
        <v>30</v>
      </c>
      <c r="C25" s="20">
        <v>30</v>
      </c>
      <c r="F25" s="24" t="s">
        <v>1064</v>
      </c>
      <c r="G25" s="20">
        <v>18</v>
      </c>
      <c r="J25" s="24" t="s">
        <v>6</v>
      </c>
      <c r="K25" s="20">
        <v>207</v>
      </c>
      <c r="L25">
        <v>20872</v>
      </c>
    </row>
    <row r="26" spans="1:12" x14ac:dyDescent="0.35">
      <c r="A26" s="24" t="s">
        <v>1052</v>
      </c>
      <c r="B26" s="20">
        <v>23</v>
      </c>
      <c r="C26" s="20">
        <v>23</v>
      </c>
      <c r="F26" s="24" t="s">
        <v>1063</v>
      </c>
      <c r="G26" s="20">
        <v>29</v>
      </c>
      <c r="J26" s="24" t="s">
        <v>13</v>
      </c>
      <c r="K26" s="20">
        <v>186</v>
      </c>
      <c r="L26">
        <v>16651</v>
      </c>
    </row>
    <row r="27" spans="1:12" x14ac:dyDescent="0.35">
      <c r="A27" s="24" t="s">
        <v>1053</v>
      </c>
      <c r="B27" s="20">
        <v>22</v>
      </c>
      <c r="C27" s="20">
        <v>22</v>
      </c>
      <c r="F27" s="24" t="s">
        <v>1066</v>
      </c>
      <c r="G27" s="20">
        <v>28</v>
      </c>
      <c r="J27" s="24" t="s">
        <v>10</v>
      </c>
      <c r="K27" s="20">
        <v>200</v>
      </c>
      <c r="L27">
        <v>20104</v>
      </c>
    </row>
    <row r="28" spans="1:12" x14ac:dyDescent="0.35">
      <c r="A28" s="24" t="s">
        <v>1054</v>
      </c>
      <c r="B28" s="20">
        <v>11</v>
      </c>
      <c r="C28" s="20">
        <v>11</v>
      </c>
      <c r="F28" s="24" t="s">
        <v>1062</v>
      </c>
      <c r="G28" s="20">
        <v>23</v>
      </c>
      <c r="J28" s="24" t="s">
        <v>1048</v>
      </c>
      <c r="K28" s="20">
        <v>1000</v>
      </c>
      <c r="L28">
        <v>96623</v>
      </c>
    </row>
    <row r="29" spans="1:12" x14ac:dyDescent="0.35">
      <c r="A29" s="24" t="s">
        <v>1055</v>
      </c>
      <c r="B29" s="20">
        <v>17</v>
      </c>
      <c r="C29" s="20">
        <v>17</v>
      </c>
      <c r="F29" s="24" t="s">
        <v>1065</v>
      </c>
      <c r="G29" s="20">
        <v>25</v>
      </c>
    </row>
    <row r="30" spans="1:12" x14ac:dyDescent="0.35">
      <c r="A30" s="24" t="s">
        <v>1056</v>
      </c>
      <c r="B30" s="20">
        <v>12</v>
      </c>
      <c r="C30" s="20">
        <v>12</v>
      </c>
      <c r="F30" s="24" t="s">
        <v>1048</v>
      </c>
      <c r="G30" s="20">
        <v>186</v>
      </c>
    </row>
    <row r="31" spans="1:12" x14ac:dyDescent="0.35">
      <c r="A31" s="24" t="s">
        <v>1057</v>
      </c>
      <c r="B31" s="20">
        <v>13</v>
      </c>
      <c r="C31" s="20">
        <v>13</v>
      </c>
    </row>
    <row r="32" spans="1:12" x14ac:dyDescent="0.35">
      <c r="A32" s="24" t="s">
        <v>1058</v>
      </c>
      <c r="B32" s="20">
        <v>15</v>
      </c>
      <c r="C32" s="20">
        <v>15</v>
      </c>
    </row>
    <row r="33" spans="1:12" x14ac:dyDescent="0.35">
      <c r="A33" s="24" t="s">
        <v>1059</v>
      </c>
      <c r="B33" s="20">
        <v>8</v>
      </c>
      <c r="C33" s="20">
        <v>8</v>
      </c>
      <c r="F33" s="21" t="s">
        <v>1042</v>
      </c>
      <c r="G33" s="21" t="s">
        <v>1073</v>
      </c>
      <c r="K33" s="21" t="s">
        <v>1047</v>
      </c>
      <c r="L33" t="s">
        <v>1042</v>
      </c>
    </row>
    <row r="34" spans="1:12" x14ac:dyDescent="0.35">
      <c r="A34" s="24" t="s">
        <v>1060</v>
      </c>
      <c r="B34" s="20">
        <v>14</v>
      </c>
      <c r="C34" s="20">
        <v>14</v>
      </c>
      <c r="F34" s="21" t="s">
        <v>1047</v>
      </c>
      <c r="G34" t="s">
        <v>999</v>
      </c>
      <c r="H34" t="s">
        <v>998</v>
      </c>
      <c r="I34" t="s">
        <v>1048</v>
      </c>
      <c r="K34" s="24">
        <v>1</v>
      </c>
      <c r="L34" s="20">
        <v>3</v>
      </c>
    </row>
    <row r="35" spans="1:12" x14ac:dyDescent="0.35">
      <c r="A35" s="24" t="s">
        <v>1048</v>
      </c>
      <c r="B35" s="20">
        <v>186</v>
      </c>
      <c r="C35" s="20">
        <v>186</v>
      </c>
      <c r="F35" s="24" t="s">
        <v>1002</v>
      </c>
      <c r="G35" s="20">
        <v>144</v>
      </c>
      <c r="H35" s="20">
        <v>132</v>
      </c>
      <c r="I35" s="20">
        <v>276</v>
      </c>
      <c r="K35" s="24">
        <v>2</v>
      </c>
      <c r="L35" s="20">
        <v>10</v>
      </c>
    </row>
    <row r="36" spans="1:12" x14ac:dyDescent="0.35">
      <c r="F36" s="24" t="s">
        <v>1001</v>
      </c>
      <c r="G36" s="20">
        <v>326</v>
      </c>
      <c r="H36" s="20">
        <v>63</v>
      </c>
      <c r="I36" s="20">
        <v>389</v>
      </c>
      <c r="K36" s="24">
        <v>3</v>
      </c>
      <c r="L36" s="20">
        <v>41</v>
      </c>
    </row>
    <row r="37" spans="1:12" x14ac:dyDescent="0.35">
      <c r="F37" s="24" t="s">
        <v>1000</v>
      </c>
      <c r="G37" s="20">
        <v>129</v>
      </c>
      <c r="H37" s="20">
        <v>206</v>
      </c>
      <c r="I37" s="20">
        <v>335</v>
      </c>
      <c r="K37" s="24">
        <v>4</v>
      </c>
      <c r="L37" s="20">
        <v>70</v>
      </c>
    </row>
    <row r="38" spans="1:12" x14ac:dyDescent="0.35">
      <c r="F38" s="24" t="s">
        <v>1048</v>
      </c>
      <c r="G38" s="20">
        <v>599</v>
      </c>
      <c r="H38" s="20">
        <v>401</v>
      </c>
      <c r="I38" s="20">
        <v>1000</v>
      </c>
      <c r="K38" s="24">
        <v>5</v>
      </c>
      <c r="L38" s="20">
        <v>62</v>
      </c>
    </row>
    <row r="39" spans="1:12" x14ac:dyDescent="0.35">
      <c r="K39" s="24" t="s">
        <v>1048</v>
      </c>
      <c r="L39" s="20">
        <v>186</v>
      </c>
    </row>
    <row r="57" spans="8:16" x14ac:dyDescent="0.35">
      <c r="O57" t="s">
        <v>1071</v>
      </c>
      <c r="P57" t="s">
        <v>1072</v>
      </c>
    </row>
    <row r="58" spans="8:16" x14ac:dyDescent="0.35">
      <c r="H58" s="21" t="s">
        <v>1047</v>
      </c>
      <c r="J58" t="s">
        <v>1070</v>
      </c>
      <c r="K58" t="str">
        <f>H59</f>
        <v>R04</v>
      </c>
      <c r="L58" t="str" cm="1">
        <f t="array" ref="L58:N62">J23:L27</f>
        <v>R01</v>
      </c>
      <c r="M58">
        <v>189</v>
      </c>
      <c r="N58" s="25">
        <v>18415</v>
      </c>
      <c r="O58" t="e">
        <f>IF(L58=$K$58,M58,NA())</f>
        <v>#N/A</v>
      </c>
      <c r="P58" t="e">
        <f>IF(L58=$K$58,N58,NA())</f>
        <v>#N/A</v>
      </c>
    </row>
    <row r="59" spans="8:16" x14ac:dyDescent="0.35">
      <c r="H59" s="24" t="s">
        <v>13</v>
      </c>
      <c r="L59" t="str">
        <v>R02</v>
      </c>
      <c r="M59">
        <v>218</v>
      </c>
      <c r="N59" s="25">
        <v>20581</v>
      </c>
      <c r="O59" t="e">
        <f t="shared" ref="O59:O62" si="0">IF(L59=$K$58,M59,NA())</f>
        <v>#N/A</v>
      </c>
      <c r="P59" t="e">
        <f t="shared" ref="P59:P62" si="1">IF(L59=$K$58,N59,NA())</f>
        <v>#N/A</v>
      </c>
    </row>
    <row r="60" spans="8:16" x14ac:dyDescent="0.35">
      <c r="L60" t="str">
        <v>R03</v>
      </c>
      <c r="M60">
        <v>207</v>
      </c>
      <c r="N60" s="25">
        <v>20872</v>
      </c>
      <c r="O60" t="e">
        <f t="shared" si="0"/>
        <v>#N/A</v>
      </c>
      <c r="P60" t="e">
        <f t="shared" si="1"/>
        <v>#N/A</v>
      </c>
    </row>
    <row r="61" spans="8:16" x14ac:dyDescent="0.35">
      <c r="L61" t="str">
        <v>R04</v>
      </c>
      <c r="M61">
        <v>186</v>
      </c>
      <c r="N61" s="25">
        <v>16651</v>
      </c>
      <c r="O61">
        <f t="shared" si="0"/>
        <v>186</v>
      </c>
      <c r="P61">
        <f t="shared" si="1"/>
        <v>16651</v>
      </c>
    </row>
    <row r="62" spans="8:16" x14ac:dyDescent="0.35">
      <c r="L62" t="str">
        <v>R05</v>
      </c>
      <c r="M62">
        <v>200</v>
      </c>
      <c r="N62" s="25">
        <v>20104</v>
      </c>
      <c r="O62" t="e">
        <f t="shared" si="0"/>
        <v>#N/A</v>
      </c>
      <c r="P62" t="e">
        <f t="shared" si="1"/>
        <v>#N/A</v>
      </c>
    </row>
    <row r="64" spans="8:16" x14ac:dyDescent="0.35">
      <c r="J64" t="s">
        <v>1075</v>
      </c>
    </row>
    <row r="65" spans="9:16" x14ac:dyDescent="0.35">
      <c r="J65" t="s">
        <v>1076</v>
      </c>
      <c r="K65" s="43">
        <f>A10/A4</f>
        <v>0.186</v>
      </c>
    </row>
    <row r="66" spans="9:16" x14ac:dyDescent="0.35">
      <c r="J66" t="s">
        <v>1077</v>
      </c>
      <c r="K66">
        <f>_xlfn.XLOOKUP(H59,L58:L62,M58:M62)</f>
        <v>186</v>
      </c>
      <c r="M66" t="str">
        <f>"% of calls :"&amp;TEXT(K65,"0%")</f>
        <v>% of calls :19%</v>
      </c>
      <c r="P66" t="e" vm="6">
        <f>IF(COUNTA(H59:H63)&gt;1,"",_xlfn.XLOOKUP(H59,Assets!E3:E7,Assets!F3:F7))</f>
        <v>#VALUE!</v>
      </c>
    </row>
    <row r="67" spans="9:16" x14ac:dyDescent="0.35">
      <c r="J67" t="s">
        <v>1078</v>
      </c>
      <c r="K67">
        <f>_xlfn.XLOOKUP(H59,L58:L62,N58:N62)</f>
        <v>16651</v>
      </c>
      <c r="M67" t="str">
        <f>IF(COUNTA(H59:H63)&gt;1,"","call rank:"&amp;K68)</f>
        <v>call rank:5</v>
      </c>
    </row>
    <row r="68" spans="9:16" x14ac:dyDescent="0.35">
      <c r="J68" t="s">
        <v>1079</v>
      </c>
      <c r="K68">
        <f>_xlfn.RANK.AVG(K66,M58:M62)</f>
        <v>5</v>
      </c>
      <c r="M68" t="str">
        <f>IF(COUNTA(H59:H63)&gt;1,"","amount rank:"&amp;K69)</f>
        <v>amount rank:5</v>
      </c>
    </row>
    <row r="69" spans="9:16" x14ac:dyDescent="0.35">
      <c r="J69" t="s">
        <v>1080</v>
      </c>
      <c r="K69">
        <f>_xlfn.RANK.AVG(K67,N58:N62)</f>
        <v>5</v>
      </c>
    </row>
    <row r="71" spans="9:16" x14ac:dyDescent="0.35">
      <c r="I71" s="21" t="s">
        <v>1069</v>
      </c>
      <c r="J71" s="21" t="s">
        <v>1073</v>
      </c>
    </row>
    <row r="72" spans="9:16" x14ac:dyDescent="0.35">
      <c r="I72" s="26" t="s">
        <v>1047</v>
      </c>
      <c r="J72" s="27" t="s">
        <v>11</v>
      </c>
      <c r="K72" s="27" t="s">
        <v>9</v>
      </c>
      <c r="L72" s="27" t="s">
        <v>6</v>
      </c>
      <c r="M72" s="27" t="s">
        <v>13</v>
      </c>
      <c r="N72" s="27" t="s">
        <v>10</v>
      </c>
      <c r="O72" s="27" t="s">
        <v>1048</v>
      </c>
      <c r="P72" s="27"/>
    </row>
    <row r="73" spans="9:16" x14ac:dyDescent="0.35">
      <c r="I73" s="28" t="s">
        <v>1002</v>
      </c>
      <c r="J73" s="27"/>
      <c r="K73" s="27"/>
      <c r="L73" s="27"/>
      <c r="M73" s="27"/>
      <c r="N73" s="27"/>
      <c r="O73" s="27"/>
      <c r="P73" s="27"/>
    </row>
    <row r="74" spans="9:16" x14ac:dyDescent="0.35">
      <c r="I74" s="29" t="s">
        <v>20</v>
      </c>
      <c r="J74" s="30">
        <v>891</v>
      </c>
      <c r="K74" s="30">
        <v>1332</v>
      </c>
      <c r="L74" s="30">
        <v>1282</v>
      </c>
      <c r="M74" s="30">
        <v>739</v>
      </c>
      <c r="N74" s="30">
        <v>560</v>
      </c>
      <c r="O74" s="30">
        <v>4804</v>
      </c>
      <c r="P74" s="27"/>
    </row>
    <row r="75" spans="9:16" x14ac:dyDescent="0.35">
      <c r="I75" s="29" t="s">
        <v>12</v>
      </c>
      <c r="J75" s="30">
        <v>1991</v>
      </c>
      <c r="K75" s="30">
        <v>1886</v>
      </c>
      <c r="L75" s="30">
        <v>1206</v>
      </c>
      <c r="M75" s="30">
        <v>884</v>
      </c>
      <c r="N75" s="30">
        <v>1722</v>
      </c>
      <c r="O75" s="30">
        <v>7689</v>
      </c>
      <c r="P75" s="27"/>
    </row>
    <row r="76" spans="9:16" x14ac:dyDescent="0.35">
      <c r="I76" s="29" t="s">
        <v>8</v>
      </c>
      <c r="J76" s="30">
        <v>1163</v>
      </c>
      <c r="K76" s="30">
        <v>1180</v>
      </c>
      <c r="L76" s="30">
        <v>1616</v>
      </c>
      <c r="M76" s="30">
        <v>1043</v>
      </c>
      <c r="N76" s="30">
        <v>1747</v>
      </c>
      <c r="O76" s="30">
        <v>6749</v>
      </c>
      <c r="P76" s="27"/>
    </row>
    <row r="77" spans="9:16" x14ac:dyDescent="0.35">
      <c r="I77" s="29" t="s">
        <v>16</v>
      </c>
      <c r="J77" s="30">
        <v>1438</v>
      </c>
      <c r="K77" s="30">
        <v>1616</v>
      </c>
      <c r="L77" s="30">
        <v>866</v>
      </c>
      <c r="M77" s="30">
        <v>829</v>
      </c>
      <c r="N77" s="30">
        <v>2070</v>
      </c>
      <c r="O77" s="30">
        <v>6819</v>
      </c>
      <c r="P77" s="27"/>
    </row>
    <row r="78" spans="9:16" x14ac:dyDescent="0.35">
      <c r="I78" s="28" t="s">
        <v>1001</v>
      </c>
      <c r="J78" s="27"/>
      <c r="K78" s="27"/>
      <c r="L78" s="27"/>
      <c r="M78" s="27"/>
      <c r="N78" s="27"/>
      <c r="O78" s="27"/>
      <c r="P78" s="27"/>
    </row>
    <row r="79" spans="9:16" x14ac:dyDescent="0.35">
      <c r="I79" s="29" t="s">
        <v>24</v>
      </c>
      <c r="J79" s="30">
        <v>1233</v>
      </c>
      <c r="K79" s="30">
        <v>223</v>
      </c>
      <c r="L79" s="30">
        <v>1680</v>
      </c>
      <c r="M79" s="30">
        <v>990</v>
      </c>
      <c r="N79" s="30">
        <v>1508</v>
      </c>
      <c r="O79" s="30">
        <v>5634</v>
      </c>
      <c r="P79" s="27"/>
    </row>
    <row r="80" spans="9:16" x14ac:dyDescent="0.35">
      <c r="I80" s="29" t="s">
        <v>15</v>
      </c>
      <c r="J80" s="30">
        <v>1598</v>
      </c>
      <c r="K80" s="30">
        <v>1907</v>
      </c>
      <c r="L80" s="30">
        <v>869</v>
      </c>
      <c r="M80" s="30">
        <v>1426</v>
      </c>
      <c r="N80" s="30">
        <v>1416</v>
      </c>
      <c r="O80" s="30">
        <v>7216</v>
      </c>
      <c r="P80" s="27"/>
    </row>
    <row r="81" spans="9:16" x14ac:dyDescent="0.35">
      <c r="I81" s="29" t="s">
        <v>5</v>
      </c>
      <c r="J81" s="30">
        <v>900</v>
      </c>
      <c r="K81" s="30">
        <v>1016</v>
      </c>
      <c r="L81" s="30">
        <v>960</v>
      </c>
      <c r="M81" s="30">
        <v>940</v>
      </c>
      <c r="N81" s="30">
        <v>1193</v>
      </c>
      <c r="O81" s="30">
        <v>5009</v>
      </c>
      <c r="P81" s="27"/>
    </row>
    <row r="82" spans="9:16" x14ac:dyDescent="0.35">
      <c r="I82" s="29" t="s">
        <v>18</v>
      </c>
      <c r="J82" s="30">
        <v>900</v>
      </c>
      <c r="K82" s="30">
        <v>1470</v>
      </c>
      <c r="L82" s="30">
        <v>1617</v>
      </c>
      <c r="M82" s="30">
        <v>1314</v>
      </c>
      <c r="N82" s="30">
        <v>941</v>
      </c>
      <c r="O82" s="30">
        <v>6242</v>
      </c>
      <c r="P82" s="27"/>
    </row>
    <row r="83" spans="9:16" x14ac:dyDescent="0.35">
      <c r="I83" s="29" t="s">
        <v>14</v>
      </c>
      <c r="J83" s="30">
        <v>1255</v>
      </c>
      <c r="K83" s="30">
        <v>516</v>
      </c>
      <c r="L83" s="30">
        <v>1874</v>
      </c>
      <c r="M83" s="30">
        <v>1863</v>
      </c>
      <c r="N83" s="30">
        <v>1722</v>
      </c>
      <c r="O83" s="30">
        <v>7230</v>
      </c>
      <c r="P83" s="27"/>
    </row>
    <row r="84" spans="9:16" x14ac:dyDescent="0.35">
      <c r="I84" s="29" t="s">
        <v>19</v>
      </c>
      <c r="J84" s="30">
        <v>1138</v>
      </c>
      <c r="K84" s="30">
        <v>1898</v>
      </c>
      <c r="L84" s="30">
        <v>1482</v>
      </c>
      <c r="M84" s="30">
        <v>846</v>
      </c>
      <c r="N84" s="30">
        <v>1154</v>
      </c>
      <c r="O84" s="30">
        <v>6518</v>
      </c>
      <c r="P84" s="27"/>
    </row>
    <row r="85" spans="9:16" x14ac:dyDescent="0.35">
      <c r="I85" s="28" t="s">
        <v>1000</v>
      </c>
      <c r="J85" s="27"/>
      <c r="K85" s="27"/>
      <c r="L85" s="27"/>
      <c r="M85" s="27"/>
      <c r="N85" s="27"/>
      <c r="O85" s="27"/>
      <c r="P85" s="27"/>
    </row>
    <row r="86" spans="9:16" x14ac:dyDescent="0.35">
      <c r="I86" s="29" t="s">
        <v>17</v>
      </c>
      <c r="J86" s="30">
        <v>1655</v>
      </c>
      <c r="K86" s="30">
        <v>805</v>
      </c>
      <c r="L86" s="30">
        <v>2263</v>
      </c>
      <c r="M86" s="30">
        <v>987</v>
      </c>
      <c r="N86" s="30">
        <v>1075</v>
      </c>
      <c r="O86" s="30">
        <v>6785</v>
      </c>
      <c r="P86" s="27"/>
    </row>
    <row r="87" spans="9:16" x14ac:dyDescent="0.35">
      <c r="I87" s="29" t="s">
        <v>23</v>
      </c>
      <c r="J87" s="30">
        <v>1104</v>
      </c>
      <c r="K87" s="30">
        <v>2280</v>
      </c>
      <c r="L87" s="30">
        <v>1445</v>
      </c>
      <c r="M87" s="30">
        <v>1722</v>
      </c>
      <c r="N87" s="30">
        <v>1196</v>
      </c>
      <c r="O87" s="30">
        <v>7747</v>
      </c>
      <c r="P87" s="27"/>
    </row>
    <row r="88" spans="9:16" x14ac:dyDescent="0.35">
      <c r="I88" s="29" t="s">
        <v>7</v>
      </c>
      <c r="J88" s="30">
        <v>372</v>
      </c>
      <c r="K88" s="30">
        <v>1818</v>
      </c>
      <c r="L88" s="30">
        <v>1346</v>
      </c>
      <c r="M88" s="30">
        <v>1156</v>
      </c>
      <c r="N88" s="30">
        <v>1484</v>
      </c>
      <c r="O88" s="30">
        <v>6176</v>
      </c>
      <c r="P88" s="27"/>
    </row>
    <row r="89" spans="9:16" x14ac:dyDescent="0.35">
      <c r="I89" s="29" t="s">
        <v>22</v>
      </c>
      <c r="J89" s="30">
        <v>1415</v>
      </c>
      <c r="K89" s="30">
        <v>1271</v>
      </c>
      <c r="L89" s="30">
        <v>1214</v>
      </c>
      <c r="M89" s="30">
        <v>1135</v>
      </c>
      <c r="N89" s="30">
        <v>1566</v>
      </c>
      <c r="O89" s="30">
        <v>6601</v>
      </c>
      <c r="P89" s="27"/>
    </row>
    <row r="90" spans="9:16" x14ac:dyDescent="0.35">
      <c r="I90" s="29" t="s">
        <v>21</v>
      </c>
      <c r="J90" s="30">
        <v>1362</v>
      </c>
      <c r="K90" s="30">
        <v>1363</v>
      </c>
      <c r="L90" s="30">
        <v>1152</v>
      </c>
      <c r="M90" s="30">
        <v>777</v>
      </c>
      <c r="N90" s="30">
        <v>750</v>
      </c>
      <c r="O90" s="30">
        <v>5404</v>
      </c>
      <c r="P90" s="27"/>
    </row>
    <row r="91" spans="9:16" x14ac:dyDescent="0.35">
      <c r="P91"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C5A4-4AEB-49E6-838D-C00B19AAAE9E}">
  <dimension ref="A1:AV80"/>
  <sheetViews>
    <sheetView tabSelected="1" zoomScale="56" workbookViewId="0">
      <selection activeCell="AJ42" sqref="AJ42"/>
    </sheetView>
  </sheetViews>
  <sheetFormatPr defaultRowHeight="14.5" x14ac:dyDescent="0.35"/>
  <cols>
    <col min="1" max="1" width="2.90625" customWidth="1"/>
    <col min="2" max="2" width="3" customWidth="1"/>
    <col min="6" max="6" width="4.54296875" customWidth="1"/>
    <col min="25" max="25" width="9.7265625" bestFit="1" customWidth="1"/>
  </cols>
  <sheetData>
    <row r="1" spans="1:48" ht="49" customHeight="1" x14ac:dyDescent="0.6">
      <c r="A1" s="22"/>
      <c r="B1" s="22"/>
      <c r="C1" s="22"/>
      <c r="D1" s="46" t="s">
        <v>1081</v>
      </c>
      <c r="E1" s="45"/>
      <c r="F1" s="45"/>
      <c r="G1" s="45"/>
      <c r="H1" s="45"/>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row>
    <row r="2" spans="1:48"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row>
    <row r="3" spans="1:48" x14ac:dyDescent="0.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row>
    <row r="4" spans="1:48"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row>
    <row r="5" spans="1:48" x14ac:dyDescent="0.35">
      <c r="A5" s="22"/>
      <c r="B5" s="22"/>
      <c r="C5" s="22"/>
      <c r="D5" s="22"/>
      <c r="E5" s="22"/>
      <c r="F5" s="23"/>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row>
    <row r="6" spans="1:48"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row>
    <row r="7" spans="1:48" x14ac:dyDescent="0.3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row>
    <row r="8" spans="1:48" x14ac:dyDescent="0.3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row>
    <row r="9" spans="1:48" x14ac:dyDescent="0.3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row>
    <row r="10" spans="1:48" x14ac:dyDescent="0.3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row>
    <row r="11" spans="1:48" x14ac:dyDescent="0.3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row>
    <row r="12" spans="1:48" x14ac:dyDescent="0.3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row>
    <row r="13" spans="1:48" x14ac:dyDescent="0.3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row>
    <row r="14" spans="1:48" x14ac:dyDescent="0.3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row>
    <row r="15" spans="1:48" x14ac:dyDescent="0.3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row>
    <row r="16" spans="1:48" x14ac:dyDescent="0.3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row>
    <row r="17" spans="1:48" x14ac:dyDescent="0.3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row>
    <row r="18" spans="1:48" x14ac:dyDescent="0.3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row>
    <row r="19" spans="1:48" x14ac:dyDescent="0.3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row>
    <row r="20" spans="1:48" x14ac:dyDescent="0.35">
      <c r="A20" s="22"/>
      <c r="B20" s="22"/>
      <c r="C20" s="22"/>
      <c r="D20" s="22"/>
      <c r="E20" s="22"/>
      <c r="F20" s="22"/>
      <c r="G20" s="22"/>
      <c r="H20" s="22"/>
      <c r="I20" s="22"/>
      <c r="J20" s="22"/>
      <c r="K20" s="22"/>
      <c r="L20" s="22"/>
      <c r="M20" s="22"/>
      <c r="N20" s="22"/>
      <c r="O20" s="22"/>
      <c r="P20" s="22"/>
      <c r="Q20" s="22"/>
      <c r="R20" s="22"/>
      <c r="S20" s="22"/>
      <c r="T20" s="22"/>
      <c r="U20" s="22"/>
      <c r="V20" s="22"/>
      <c r="W20" s="22"/>
      <c r="X20" s="22"/>
      <c r="Y20" s="33"/>
      <c r="Z20" s="39" t="str" cm="1">
        <f t="array" ref="Z20:AD20">'Pivots '!J72:N72</f>
        <v>R01</v>
      </c>
      <c r="AA20" s="39" t="str">
        <v>R02</v>
      </c>
      <c r="AB20" s="39" t="str">
        <v>R03</v>
      </c>
      <c r="AC20" s="39" t="str">
        <v>R04</v>
      </c>
      <c r="AD20" s="39" t="str">
        <v>R05</v>
      </c>
      <c r="AE20" s="40" t="s">
        <v>1074</v>
      </c>
      <c r="AF20" s="22"/>
      <c r="AG20" s="22"/>
      <c r="AH20" s="22"/>
      <c r="AI20" s="22"/>
      <c r="AJ20" s="22"/>
      <c r="AK20" s="22"/>
      <c r="AL20" s="22"/>
      <c r="AM20" s="22"/>
      <c r="AN20" s="22"/>
      <c r="AO20" s="22"/>
      <c r="AP20" s="22"/>
      <c r="AQ20" s="22"/>
      <c r="AR20" s="22"/>
      <c r="AS20" s="22"/>
      <c r="AT20" s="22"/>
      <c r="AU20" s="22"/>
      <c r="AV20" s="22"/>
    </row>
    <row r="21" spans="1:48" x14ac:dyDescent="0.35">
      <c r="A21" s="22"/>
      <c r="B21" s="22"/>
      <c r="C21" s="22"/>
      <c r="D21" s="22"/>
      <c r="E21" s="22"/>
      <c r="F21" s="22"/>
      <c r="G21" s="22"/>
      <c r="H21" s="22"/>
      <c r="I21" s="22"/>
      <c r="J21" s="22"/>
      <c r="K21" s="22"/>
      <c r="L21" s="22"/>
      <c r="M21" s="22"/>
      <c r="N21" s="22"/>
      <c r="O21" s="22"/>
      <c r="P21" s="22"/>
      <c r="Q21" s="22"/>
      <c r="R21" s="22"/>
      <c r="S21" s="22"/>
      <c r="T21" s="22"/>
      <c r="U21" s="22"/>
      <c r="V21" s="22"/>
      <c r="W21" s="22"/>
      <c r="X21" s="22"/>
      <c r="Y21" s="42" t="str" cm="1">
        <f t="array" ref="Y21:AE38">IF('Pivots '!I73:O90="","",'Pivots '!I73:O90)</f>
        <v>Cincinnati</v>
      </c>
      <c r="Z21" s="31" t="str">
        <v/>
      </c>
      <c r="AA21" s="31" t="str">
        <v/>
      </c>
      <c r="AB21" s="31" t="str">
        <v/>
      </c>
      <c r="AC21" s="31" t="str">
        <v/>
      </c>
      <c r="AD21" s="31" t="str">
        <v/>
      </c>
      <c r="AE21" s="41" t="str">
        <v/>
      </c>
      <c r="AF21" s="22"/>
      <c r="AG21" s="22"/>
      <c r="AH21" s="22"/>
      <c r="AI21" s="22"/>
      <c r="AJ21" s="22"/>
      <c r="AK21" s="22"/>
      <c r="AL21" s="22"/>
      <c r="AM21" s="22"/>
      <c r="AN21" s="22"/>
      <c r="AO21" s="22"/>
      <c r="AP21" s="22"/>
      <c r="AQ21" s="22"/>
      <c r="AR21" s="22"/>
      <c r="AS21" s="22"/>
      <c r="AT21" s="22"/>
      <c r="AU21" s="22"/>
      <c r="AV21" s="22"/>
    </row>
    <row r="22" spans="1:48" x14ac:dyDescent="0.35">
      <c r="A22" s="22"/>
      <c r="B22" s="22"/>
      <c r="C22" s="22"/>
      <c r="D22" s="22"/>
      <c r="E22" s="22"/>
      <c r="F22" s="22"/>
      <c r="G22" s="22"/>
      <c r="H22" s="22"/>
      <c r="I22" s="22"/>
      <c r="J22" s="22"/>
      <c r="K22" s="22"/>
      <c r="L22" s="22"/>
      <c r="M22" s="22"/>
      <c r="N22" s="22"/>
      <c r="O22" s="22"/>
      <c r="P22" s="22"/>
      <c r="Q22" s="22"/>
      <c r="R22" s="22"/>
      <c r="S22" s="22"/>
      <c r="T22" s="22"/>
      <c r="U22" s="22"/>
      <c r="V22" s="22"/>
      <c r="W22" s="22"/>
      <c r="X22" s="22"/>
      <c r="Y22" s="34" t="str">
        <v>C0003</v>
      </c>
      <c r="Z22" s="32">
        <v>891</v>
      </c>
      <c r="AA22" s="32">
        <v>1332</v>
      </c>
      <c r="AB22" s="32">
        <v>1282</v>
      </c>
      <c r="AC22" s="32">
        <v>739</v>
      </c>
      <c r="AD22" s="32">
        <v>560</v>
      </c>
      <c r="AE22" s="35">
        <v>4804</v>
      </c>
      <c r="AF22" s="22"/>
      <c r="AG22" s="22"/>
      <c r="AH22" s="22"/>
      <c r="AI22" s="22"/>
      <c r="AJ22" s="22"/>
      <c r="AK22" s="22"/>
      <c r="AL22" s="22"/>
      <c r="AM22" s="22"/>
      <c r="AN22" s="22"/>
      <c r="AO22" s="22"/>
      <c r="AP22" s="22"/>
      <c r="AQ22" s="22"/>
      <c r="AR22" s="22"/>
      <c r="AS22" s="22"/>
      <c r="AT22" s="22"/>
      <c r="AU22" s="22"/>
      <c r="AV22" s="22"/>
    </row>
    <row r="23" spans="1:48" x14ac:dyDescent="0.35">
      <c r="A23" s="22"/>
      <c r="B23" s="22"/>
      <c r="C23" s="22"/>
      <c r="D23" s="22"/>
      <c r="E23" s="22"/>
      <c r="F23" s="22"/>
      <c r="G23" s="22"/>
      <c r="H23" s="22"/>
      <c r="I23" s="22"/>
      <c r="J23" s="22"/>
      <c r="K23" s="22"/>
      <c r="L23" s="22"/>
      <c r="M23" s="22"/>
      <c r="N23" s="22"/>
      <c r="O23" s="22"/>
      <c r="P23" s="22"/>
      <c r="Q23" s="22"/>
      <c r="R23" s="22"/>
      <c r="S23" s="22"/>
      <c r="T23" s="22"/>
      <c r="U23" s="22"/>
      <c r="V23" s="22"/>
      <c r="W23" s="22"/>
      <c r="X23" s="22"/>
      <c r="Y23" s="34" t="str">
        <v>C0004</v>
      </c>
      <c r="Z23" s="32">
        <v>1991</v>
      </c>
      <c r="AA23" s="32">
        <v>1886</v>
      </c>
      <c r="AB23" s="32">
        <v>1206</v>
      </c>
      <c r="AC23" s="32">
        <v>884</v>
      </c>
      <c r="AD23" s="32">
        <v>1722</v>
      </c>
      <c r="AE23" s="35">
        <v>7689</v>
      </c>
      <c r="AF23" s="22"/>
      <c r="AG23" s="22"/>
      <c r="AH23" s="22"/>
      <c r="AI23" s="22"/>
      <c r="AJ23" s="22"/>
      <c r="AK23" s="22"/>
      <c r="AL23" s="22"/>
      <c r="AM23" s="22"/>
      <c r="AN23" s="22"/>
      <c r="AO23" s="22"/>
      <c r="AP23" s="22"/>
      <c r="AQ23" s="22"/>
      <c r="AR23" s="22"/>
      <c r="AS23" s="22"/>
      <c r="AT23" s="22"/>
      <c r="AU23" s="22"/>
      <c r="AV23" s="22"/>
    </row>
    <row r="24" spans="1:48" x14ac:dyDescent="0.35">
      <c r="A24" s="22"/>
      <c r="B24" s="22"/>
      <c r="C24" s="22"/>
      <c r="D24" s="22"/>
      <c r="E24" s="22"/>
      <c r="F24" s="22"/>
      <c r="G24" s="22"/>
      <c r="H24" s="22"/>
      <c r="I24" s="22"/>
      <c r="J24" s="22"/>
      <c r="K24" s="22"/>
      <c r="L24" s="22"/>
      <c r="M24" s="22"/>
      <c r="N24" s="22"/>
      <c r="O24" s="22"/>
      <c r="P24" s="22"/>
      <c r="Q24" s="22"/>
      <c r="R24" s="22"/>
      <c r="S24" s="22"/>
      <c r="T24" s="22"/>
      <c r="U24" s="22"/>
      <c r="V24" s="22"/>
      <c r="W24" s="22"/>
      <c r="X24" s="22"/>
      <c r="Y24" s="34" t="str">
        <v>C0011</v>
      </c>
      <c r="Z24" s="32">
        <v>1163</v>
      </c>
      <c r="AA24" s="32">
        <v>1180</v>
      </c>
      <c r="AB24" s="32">
        <v>1616</v>
      </c>
      <c r="AC24" s="32">
        <v>1043</v>
      </c>
      <c r="AD24" s="32">
        <v>1747</v>
      </c>
      <c r="AE24" s="35">
        <v>6749</v>
      </c>
      <c r="AF24" s="22"/>
      <c r="AG24" s="22"/>
      <c r="AH24" s="22"/>
      <c r="AI24" s="22"/>
      <c r="AJ24" s="22"/>
      <c r="AK24" s="22"/>
      <c r="AL24" s="22"/>
      <c r="AM24" s="22"/>
      <c r="AN24" s="22"/>
      <c r="AO24" s="22"/>
      <c r="AP24" s="22"/>
      <c r="AQ24" s="22"/>
      <c r="AR24" s="22"/>
      <c r="AS24" s="22"/>
      <c r="AT24" s="22"/>
      <c r="AU24" s="22"/>
      <c r="AV24" s="22"/>
    </row>
    <row r="25" spans="1:48" x14ac:dyDescent="0.35">
      <c r="A25" s="22"/>
      <c r="B25" s="22"/>
      <c r="C25" s="22"/>
      <c r="D25" s="22"/>
      <c r="E25" s="22"/>
      <c r="F25" s="22"/>
      <c r="G25" s="22"/>
      <c r="H25" s="22"/>
      <c r="I25" s="22"/>
      <c r="J25" s="22"/>
      <c r="K25" s="22"/>
      <c r="L25" s="22"/>
      <c r="M25" s="22"/>
      <c r="N25" s="22"/>
      <c r="O25" s="22"/>
      <c r="P25" s="22"/>
      <c r="Q25" s="22"/>
      <c r="R25" s="22"/>
      <c r="S25" s="22"/>
      <c r="T25" s="22"/>
      <c r="U25" s="22"/>
      <c r="V25" s="22"/>
      <c r="W25" s="22"/>
      <c r="X25" s="22"/>
      <c r="Y25" s="34" t="str">
        <v>C0012</v>
      </c>
      <c r="Z25" s="32">
        <v>1438</v>
      </c>
      <c r="AA25" s="32">
        <v>1616</v>
      </c>
      <c r="AB25" s="32">
        <v>866</v>
      </c>
      <c r="AC25" s="32">
        <v>829</v>
      </c>
      <c r="AD25" s="32">
        <v>2070</v>
      </c>
      <c r="AE25" s="35">
        <v>6819</v>
      </c>
      <c r="AF25" s="22"/>
      <c r="AG25" s="22"/>
      <c r="AH25" s="22"/>
      <c r="AI25" s="22"/>
      <c r="AJ25" s="22"/>
      <c r="AK25" s="22"/>
      <c r="AL25" s="22"/>
      <c r="AM25" s="22"/>
      <c r="AN25" s="22"/>
      <c r="AO25" s="22"/>
      <c r="AP25" s="22"/>
      <c r="AQ25" s="22"/>
      <c r="AR25" s="22"/>
      <c r="AS25" s="22"/>
      <c r="AT25" s="22"/>
      <c r="AU25" s="22"/>
      <c r="AV25" s="22"/>
    </row>
    <row r="26" spans="1:48" x14ac:dyDescent="0.35">
      <c r="A26" s="22"/>
      <c r="B26" s="22"/>
      <c r="C26" s="22"/>
      <c r="D26" s="22"/>
      <c r="E26" s="22"/>
      <c r="F26" s="22"/>
      <c r="G26" s="22"/>
      <c r="H26" s="22"/>
      <c r="I26" s="22"/>
      <c r="J26" s="22"/>
      <c r="K26" s="22"/>
      <c r="L26" s="22"/>
      <c r="M26" s="22"/>
      <c r="N26" s="22"/>
      <c r="O26" s="22"/>
      <c r="P26" s="22"/>
      <c r="Q26" s="22"/>
      <c r="R26" s="22"/>
      <c r="S26" s="22"/>
      <c r="T26" s="22"/>
      <c r="U26" s="22"/>
      <c r="V26" s="22"/>
      <c r="W26" s="22"/>
      <c r="X26" s="22"/>
      <c r="Y26" s="42" t="str">
        <v>Cleveland</v>
      </c>
      <c r="Z26" s="32" t="str">
        <v/>
      </c>
      <c r="AA26" s="32" t="str">
        <v/>
      </c>
      <c r="AB26" s="32" t="str">
        <v/>
      </c>
      <c r="AC26" s="32" t="str">
        <v/>
      </c>
      <c r="AD26" s="32" t="str">
        <v/>
      </c>
      <c r="AE26" s="35" t="str">
        <v/>
      </c>
      <c r="AF26" s="22"/>
      <c r="AG26" s="22"/>
      <c r="AH26" s="22"/>
      <c r="AI26" s="22"/>
      <c r="AJ26" s="22"/>
      <c r="AK26" s="22"/>
      <c r="AL26" s="22"/>
      <c r="AM26" s="22"/>
      <c r="AN26" s="22"/>
      <c r="AO26" s="22"/>
      <c r="AP26" s="22"/>
      <c r="AQ26" s="22"/>
      <c r="AR26" s="22"/>
      <c r="AS26" s="22"/>
      <c r="AT26" s="22"/>
      <c r="AU26" s="22"/>
      <c r="AV26" s="22"/>
    </row>
    <row r="27" spans="1:48" x14ac:dyDescent="0.35">
      <c r="A27" s="22"/>
      <c r="B27" s="22"/>
      <c r="C27" s="22"/>
      <c r="D27" s="22"/>
      <c r="E27" s="22"/>
      <c r="F27" s="22"/>
      <c r="G27" s="22"/>
      <c r="H27" s="22"/>
      <c r="I27" s="22"/>
      <c r="J27" s="22"/>
      <c r="K27" s="22"/>
      <c r="L27" s="22"/>
      <c r="M27" s="22"/>
      <c r="N27" s="22"/>
      <c r="O27" s="22"/>
      <c r="P27" s="22"/>
      <c r="Q27" s="22"/>
      <c r="R27" s="22"/>
      <c r="S27" s="22"/>
      <c r="T27" s="22"/>
      <c r="U27" s="22"/>
      <c r="V27" s="22"/>
      <c r="W27" s="22"/>
      <c r="X27" s="22"/>
      <c r="Y27" s="34" t="str">
        <v>C0002</v>
      </c>
      <c r="Z27" s="32">
        <v>1233</v>
      </c>
      <c r="AA27" s="32">
        <v>223</v>
      </c>
      <c r="AB27" s="32">
        <v>1680</v>
      </c>
      <c r="AC27" s="32">
        <v>990</v>
      </c>
      <c r="AD27" s="32">
        <v>1508</v>
      </c>
      <c r="AE27" s="35">
        <v>5634</v>
      </c>
      <c r="AF27" s="22"/>
      <c r="AG27" s="22"/>
      <c r="AH27" s="22"/>
      <c r="AI27" s="22"/>
      <c r="AJ27" s="22"/>
      <c r="AK27" s="22"/>
      <c r="AL27" s="22"/>
      <c r="AM27" s="22"/>
      <c r="AN27" s="22"/>
      <c r="AO27" s="22"/>
      <c r="AP27" s="22"/>
      <c r="AQ27" s="22"/>
      <c r="AR27" s="22"/>
      <c r="AS27" s="22"/>
      <c r="AT27" s="22"/>
      <c r="AU27" s="22"/>
      <c r="AV27" s="22"/>
    </row>
    <row r="28" spans="1:48" x14ac:dyDescent="0.35">
      <c r="A28" s="22"/>
      <c r="B28" s="22"/>
      <c r="C28" s="22"/>
      <c r="D28" s="22"/>
      <c r="E28" s="22"/>
      <c r="F28" s="22"/>
      <c r="G28" s="22"/>
      <c r="H28" s="22"/>
      <c r="I28" s="22"/>
      <c r="J28" s="22"/>
      <c r="K28" s="22"/>
      <c r="L28" s="22"/>
      <c r="M28" s="22"/>
      <c r="N28" s="22"/>
      <c r="O28" s="22"/>
      <c r="P28" s="22"/>
      <c r="Q28" s="22"/>
      <c r="R28" s="22"/>
      <c r="S28" s="22"/>
      <c r="T28" s="22"/>
      <c r="U28" s="22"/>
      <c r="V28" s="22"/>
      <c r="W28" s="22"/>
      <c r="X28" s="22"/>
      <c r="Y28" s="34" t="str">
        <v>C0007</v>
      </c>
      <c r="Z28" s="32">
        <v>1598</v>
      </c>
      <c r="AA28" s="32">
        <v>1907</v>
      </c>
      <c r="AB28" s="32">
        <v>869</v>
      </c>
      <c r="AC28" s="32">
        <v>1426</v>
      </c>
      <c r="AD28" s="32">
        <v>1416</v>
      </c>
      <c r="AE28" s="35">
        <v>7216</v>
      </c>
      <c r="AF28" s="22"/>
      <c r="AG28" s="22"/>
      <c r="AH28" s="22"/>
      <c r="AI28" s="22"/>
      <c r="AJ28" s="22"/>
      <c r="AK28" s="22"/>
      <c r="AL28" s="22"/>
      <c r="AM28" s="22"/>
      <c r="AN28" s="22"/>
      <c r="AO28" s="22"/>
      <c r="AP28" s="22"/>
      <c r="AQ28" s="22"/>
      <c r="AR28" s="22"/>
      <c r="AS28" s="22"/>
      <c r="AT28" s="22"/>
      <c r="AU28" s="22"/>
      <c r="AV28" s="22"/>
    </row>
    <row r="29" spans="1:48" x14ac:dyDescent="0.35">
      <c r="A29" s="22"/>
      <c r="B29" s="22"/>
      <c r="C29" s="22"/>
      <c r="D29" s="22"/>
      <c r="E29" s="22"/>
      <c r="F29" s="22"/>
      <c r="G29" s="22"/>
      <c r="H29" s="22"/>
      <c r="I29" s="22"/>
      <c r="J29" s="22"/>
      <c r="K29" s="22"/>
      <c r="L29" s="22"/>
      <c r="M29" s="22"/>
      <c r="N29" s="22"/>
      <c r="O29" s="22"/>
      <c r="P29" s="22"/>
      <c r="Q29" s="22"/>
      <c r="R29" s="22"/>
      <c r="S29" s="22"/>
      <c r="T29" s="22"/>
      <c r="U29" s="22"/>
      <c r="V29" s="22"/>
      <c r="W29" s="22"/>
      <c r="X29" s="22"/>
      <c r="Y29" s="34" t="str">
        <v>C0008</v>
      </c>
      <c r="Z29" s="32">
        <v>900</v>
      </c>
      <c r="AA29" s="32">
        <v>1016</v>
      </c>
      <c r="AB29" s="32">
        <v>960</v>
      </c>
      <c r="AC29" s="32">
        <v>940</v>
      </c>
      <c r="AD29" s="32">
        <v>1193</v>
      </c>
      <c r="AE29" s="35">
        <v>5009</v>
      </c>
      <c r="AF29" s="22"/>
      <c r="AG29" s="22"/>
      <c r="AH29" s="22"/>
      <c r="AI29" s="22"/>
      <c r="AJ29" s="22"/>
      <c r="AK29" s="22"/>
      <c r="AL29" s="22"/>
      <c r="AM29" s="22"/>
      <c r="AN29" s="22"/>
      <c r="AO29" s="22"/>
      <c r="AP29" s="22"/>
      <c r="AQ29" s="22"/>
      <c r="AR29" s="22"/>
      <c r="AS29" s="22"/>
      <c r="AT29" s="22"/>
      <c r="AU29" s="22"/>
      <c r="AV29" s="22"/>
    </row>
    <row r="30" spans="1:48" x14ac:dyDescent="0.35">
      <c r="A30" s="22"/>
      <c r="B30" s="22"/>
      <c r="C30" s="22"/>
      <c r="D30" s="22"/>
      <c r="E30" s="22"/>
      <c r="F30" s="22"/>
      <c r="G30" s="22"/>
      <c r="H30" s="22"/>
      <c r="I30" s="22"/>
      <c r="J30" s="22"/>
      <c r="K30" s="22"/>
      <c r="L30" s="22"/>
      <c r="M30" s="22"/>
      <c r="N30" s="22"/>
      <c r="O30" s="22"/>
      <c r="P30" s="22"/>
      <c r="Q30" s="22"/>
      <c r="R30" s="22"/>
      <c r="S30" s="22"/>
      <c r="T30" s="22"/>
      <c r="U30" s="22"/>
      <c r="V30" s="22"/>
      <c r="W30" s="22"/>
      <c r="X30" s="22"/>
      <c r="Y30" s="34" t="str">
        <v>C0010</v>
      </c>
      <c r="Z30" s="32">
        <v>900</v>
      </c>
      <c r="AA30" s="32">
        <v>1470</v>
      </c>
      <c r="AB30" s="32">
        <v>1617</v>
      </c>
      <c r="AC30" s="32">
        <v>1314</v>
      </c>
      <c r="AD30" s="32">
        <v>941</v>
      </c>
      <c r="AE30" s="35">
        <v>6242</v>
      </c>
      <c r="AF30" s="22"/>
      <c r="AG30" s="22"/>
      <c r="AH30" s="22"/>
      <c r="AI30" s="22"/>
      <c r="AJ30" s="22"/>
      <c r="AK30" s="22"/>
      <c r="AL30" s="22"/>
      <c r="AM30" s="22"/>
      <c r="AN30" s="22"/>
      <c r="AO30" s="22"/>
      <c r="AP30" s="22"/>
      <c r="AQ30" s="22"/>
      <c r="AR30" s="22"/>
      <c r="AS30" s="22"/>
      <c r="AT30" s="22"/>
      <c r="AU30" s="22"/>
      <c r="AV30" s="22"/>
    </row>
    <row r="31" spans="1:48" x14ac:dyDescent="0.35">
      <c r="A31" s="22"/>
      <c r="B31" s="22"/>
      <c r="C31" s="22"/>
      <c r="D31" s="22"/>
      <c r="E31" s="22"/>
      <c r="F31" s="22"/>
      <c r="G31" s="22"/>
      <c r="H31" s="22"/>
      <c r="I31" s="22"/>
      <c r="J31" s="22"/>
      <c r="K31" s="22"/>
      <c r="L31" s="22"/>
      <c r="M31" s="22"/>
      <c r="N31" s="22"/>
      <c r="O31" s="22"/>
      <c r="P31" s="22"/>
      <c r="Q31" s="22"/>
      <c r="R31" s="22"/>
      <c r="S31" s="22"/>
      <c r="T31" s="22"/>
      <c r="U31" s="22"/>
      <c r="V31" s="22"/>
      <c r="W31" s="47" t="e" vm="6">
        <f>'Pivots '!P66</f>
        <v>#VALUE!</v>
      </c>
      <c r="X31" s="22"/>
      <c r="Y31" s="34" t="str">
        <v>C0013</v>
      </c>
      <c r="Z31" s="32">
        <v>1255</v>
      </c>
      <c r="AA31" s="32">
        <v>516</v>
      </c>
      <c r="AB31" s="32">
        <v>1874</v>
      </c>
      <c r="AC31" s="32">
        <v>1863</v>
      </c>
      <c r="AD31" s="32">
        <v>1722</v>
      </c>
      <c r="AE31" s="35">
        <v>7230</v>
      </c>
      <c r="AF31" s="22"/>
      <c r="AG31" s="22"/>
      <c r="AH31" s="22"/>
      <c r="AI31" s="22"/>
      <c r="AJ31" s="22"/>
      <c r="AK31" s="22"/>
      <c r="AL31" s="22"/>
      <c r="AM31" s="22"/>
      <c r="AN31" s="22"/>
      <c r="AO31" s="22"/>
      <c r="AP31" s="22"/>
      <c r="AQ31" s="22"/>
      <c r="AR31" s="22"/>
      <c r="AS31" s="22"/>
      <c r="AT31" s="22"/>
      <c r="AU31" s="22"/>
      <c r="AV31" s="22"/>
    </row>
    <row r="32" spans="1:48" x14ac:dyDescent="0.35">
      <c r="A32" s="22"/>
      <c r="B32" s="22"/>
      <c r="C32" s="22"/>
      <c r="D32" s="22"/>
      <c r="E32" s="22"/>
      <c r="F32" s="22"/>
      <c r="G32" s="22"/>
      <c r="H32" s="22"/>
      <c r="I32" s="22"/>
      <c r="J32" s="22"/>
      <c r="K32" s="22"/>
      <c r="L32" s="22"/>
      <c r="M32" s="22"/>
      <c r="N32" s="22"/>
      <c r="O32" s="22"/>
      <c r="P32" s="22"/>
      <c r="Q32" s="22"/>
      <c r="R32" s="22"/>
      <c r="S32" s="22"/>
      <c r="T32" s="22"/>
      <c r="U32" s="22"/>
      <c r="V32" s="22"/>
      <c r="W32" s="47"/>
      <c r="X32" s="22"/>
      <c r="Y32" s="34" t="str">
        <v>C0015</v>
      </c>
      <c r="Z32" s="32">
        <v>1138</v>
      </c>
      <c r="AA32" s="32">
        <v>1898</v>
      </c>
      <c r="AB32" s="32">
        <v>1482</v>
      </c>
      <c r="AC32" s="32">
        <v>846</v>
      </c>
      <c r="AD32" s="32">
        <v>1154</v>
      </c>
      <c r="AE32" s="35">
        <v>6518</v>
      </c>
      <c r="AF32" s="22"/>
      <c r="AG32" s="22"/>
      <c r="AH32" s="22"/>
      <c r="AI32" s="22"/>
      <c r="AJ32" s="22"/>
      <c r="AK32" s="22"/>
      <c r="AL32" s="22"/>
      <c r="AM32" s="22"/>
      <c r="AN32" s="22"/>
      <c r="AO32" s="22"/>
      <c r="AP32" s="22"/>
      <c r="AQ32" s="22"/>
      <c r="AR32" s="22"/>
      <c r="AS32" s="22"/>
      <c r="AT32" s="22"/>
      <c r="AU32" s="22"/>
      <c r="AV32" s="22"/>
    </row>
    <row r="33" spans="1:48" x14ac:dyDescent="0.35">
      <c r="A33" s="22"/>
      <c r="B33" s="22"/>
      <c r="C33" s="22"/>
      <c r="D33" s="22"/>
      <c r="E33" s="22"/>
      <c r="F33" s="22"/>
      <c r="G33" s="22"/>
      <c r="H33" s="22"/>
      <c r="I33" s="22"/>
      <c r="J33" s="22"/>
      <c r="K33" s="22"/>
      <c r="L33" s="22"/>
      <c r="M33" s="22"/>
      <c r="N33" s="22"/>
      <c r="O33" s="22"/>
      <c r="P33" s="22"/>
      <c r="Q33" s="22"/>
      <c r="R33" s="22"/>
      <c r="S33" s="22"/>
      <c r="T33" s="22"/>
      <c r="U33" s="22"/>
      <c r="V33" s="22"/>
      <c r="W33" s="47"/>
      <c r="X33" s="22"/>
      <c r="Y33" s="42" t="str">
        <v>Columbus</v>
      </c>
      <c r="Z33" s="32" t="str">
        <v/>
      </c>
      <c r="AA33" s="32" t="str">
        <v/>
      </c>
      <c r="AB33" s="32" t="str">
        <v/>
      </c>
      <c r="AC33" s="32" t="str">
        <v/>
      </c>
      <c r="AD33" s="32" t="str">
        <v/>
      </c>
      <c r="AE33" s="35" t="str">
        <v/>
      </c>
      <c r="AF33" s="22"/>
      <c r="AG33" s="22"/>
      <c r="AH33" s="22"/>
      <c r="AI33" s="22"/>
      <c r="AJ33" s="22"/>
      <c r="AK33" s="22"/>
      <c r="AL33" s="22"/>
      <c r="AM33" s="22"/>
      <c r="AN33" s="22"/>
      <c r="AO33" s="22"/>
      <c r="AP33" s="22"/>
      <c r="AQ33" s="22"/>
      <c r="AR33" s="22"/>
      <c r="AS33" s="22"/>
      <c r="AT33" s="22"/>
      <c r="AU33" s="22"/>
      <c r="AV33" s="22"/>
    </row>
    <row r="34" spans="1:48" x14ac:dyDescent="0.35">
      <c r="A34" s="22"/>
      <c r="B34" s="22"/>
      <c r="C34" s="22"/>
      <c r="D34" s="22"/>
      <c r="E34" s="22"/>
      <c r="F34" s="22"/>
      <c r="G34" s="22"/>
      <c r="H34" s="22"/>
      <c r="I34" s="22"/>
      <c r="J34" s="22"/>
      <c r="K34" s="22"/>
      <c r="L34" s="22"/>
      <c r="M34" s="22"/>
      <c r="N34" s="22"/>
      <c r="O34" s="22"/>
      <c r="P34" s="22"/>
      <c r="Q34" s="22"/>
      <c r="R34" s="22"/>
      <c r="S34" s="22"/>
      <c r="T34" s="22"/>
      <c r="U34" s="22"/>
      <c r="V34" s="22"/>
      <c r="W34" s="47"/>
      <c r="X34" s="22"/>
      <c r="Y34" s="34" t="str">
        <v>C0001</v>
      </c>
      <c r="Z34" s="32">
        <v>1655</v>
      </c>
      <c r="AA34" s="32">
        <v>805</v>
      </c>
      <c r="AB34" s="32">
        <v>2263</v>
      </c>
      <c r="AC34" s="32">
        <v>987</v>
      </c>
      <c r="AD34" s="32">
        <v>1075</v>
      </c>
      <c r="AE34" s="35">
        <v>6785</v>
      </c>
      <c r="AF34" s="22"/>
      <c r="AG34" s="22"/>
      <c r="AH34" s="22"/>
      <c r="AI34" s="22"/>
      <c r="AJ34" s="22"/>
      <c r="AK34" s="22"/>
      <c r="AL34" s="22"/>
      <c r="AM34" s="22"/>
      <c r="AN34" s="22"/>
      <c r="AO34" s="22"/>
      <c r="AP34" s="22"/>
      <c r="AQ34" s="22"/>
      <c r="AR34" s="22"/>
      <c r="AS34" s="22"/>
      <c r="AT34" s="22"/>
      <c r="AU34" s="22"/>
      <c r="AV34" s="22"/>
    </row>
    <row r="35" spans="1:48" x14ac:dyDescent="0.35">
      <c r="A35" s="22"/>
      <c r="B35" s="22"/>
      <c r="C35" s="22"/>
      <c r="D35" s="22"/>
      <c r="E35" s="22"/>
      <c r="F35" s="22"/>
      <c r="G35" s="22"/>
      <c r="H35" s="22"/>
      <c r="I35" s="22"/>
      <c r="J35" s="22"/>
      <c r="K35" s="22"/>
      <c r="L35" s="22"/>
      <c r="M35" s="22"/>
      <c r="N35" s="22"/>
      <c r="O35" s="22"/>
      <c r="P35" s="22"/>
      <c r="Q35" s="22"/>
      <c r="R35" s="22"/>
      <c r="S35" s="22"/>
      <c r="T35" s="22"/>
      <c r="U35" s="22"/>
      <c r="V35" s="44"/>
      <c r="W35" s="45" t="str">
        <f>'Pivots '!M66</f>
        <v>% of calls :19%</v>
      </c>
      <c r="X35" s="45"/>
      <c r="Y35" s="34" t="str">
        <v>C0005</v>
      </c>
      <c r="Z35" s="32">
        <v>1104</v>
      </c>
      <c r="AA35" s="32">
        <v>2280</v>
      </c>
      <c r="AB35" s="32">
        <v>1445</v>
      </c>
      <c r="AC35" s="32">
        <v>1722</v>
      </c>
      <c r="AD35" s="32">
        <v>1196</v>
      </c>
      <c r="AE35" s="35">
        <v>7747</v>
      </c>
      <c r="AF35" s="22"/>
      <c r="AG35" s="22"/>
      <c r="AH35" s="22"/>
      <c r="AI35" s="22"/>
      <c r="AJ35" s="22"/>
      <c r="AK35" s="22"/>
      <c r="AL35" s="22"/>
      <c r="AM35" s="22"/>
      <c r="AN35" s="22"/>
      <c r="AO35" s="22"/>
      <c r="AP35" s="22"/>
      <c r="AQ35" s="22"/>
      <c r="AR35" s="22"/>
      <c r="AS35" s="22"/>
      <c r="AT35" s="22"/>
      <c r="AU35" s="22"/>
      <c r="AV35" s="22"/>
    </row>
    <row r="36" spans="1:48" x14ac:dyDescent="0.35">
      <c r="A36" s="22"/>
      <c r="B36" s="22"/>
      <c r="C36" s="22"/>
      <c r="D36" s="22"/>
      <c r="E36" s="22"/>
      <c r="F36" s="22"/>
      <c r="G36" s="22"/>
      <c r="H36" s="22"/>
      <c r="I36" s="22"/>
      <c r="J36" s="22"/>
      <c r="K36" s="22"/>
      <c r="L36" s="22"/>
      <c r="M36" s="22"/>
      <c r="N36" s="22"/>
      <c r="O36" s="22"/>
      <c r="P36" s="22"/>
      <c r="Q36" s="22"/>
      <c r="R36" s="22"/>
      <c r="S36" s="22"/>
      <c r="T36" s="22"/>
      <c r="U36" s="22"/>
      <c r="V36" s="44"/>
      <c r="W36" s="45" t="str">
        <f>'Pivots '!M67</f>
        <v>call rank:5</v>
      </c>
      <c r="X36" s="45"/>
      <c r="Y36" s="34" t="str">
        <v>C0006</v>
      </c>
      <c r="Z36" s="32">
        <v>372</v>
      </c>
      <c r="AA36" s="32">
        <v>1818</v>
      </c>
      <c r="AB36" s="32">
        <v>1346</v>
      </c>
      <c r="AC36" s="32">
        <v>1156</v>
      </c>
      <c r="AD36" s="32">
        <v>1484</v>
      </c>
      <c r="AE36" s="35">
        <v>6176</v>
      </c>
      <c r="AF36" s="22"/>
      <c r="AG36" s="22"/>
      <c r="AH36" s="22"/>
      <c r="AI36" s="22"/>
      <c r="AJ36" s="22"/>
      <c r="AK36" s="22"/>
      <c r="AL36" s="22"/>
      <c r="AM36" s="22"/>
      <c r="AN36" s="22"/>
      <c r="AO36" s="22"/>
      <c r="AP36" s="22"/>
      <c r="AQ36" s="22"/>
      <c r="AR36" s="22"/>
      <c r="AS36" s="22"/>
      <c r="AT36" s="22"/>
      <c r="AU36" s="22"/>
      <c r="AV36" s="22"/>
    </row>
    <row r="37" spans="1:48" x14ac:dyDescent="0.35">
      <c r="A37" s="22"/>
      <c r="B37" s="22"/>
      <c r="C37" s="22"/>
      <c r="D37" s="22"/>
      <c r="E37" s="22"/>
      <c r="F37" s="22"/>
      <c r="G37" s="22"/>
      <c r="H37" s="22"/>
      <c r="I37" s="22"/>
      <c r="J37" s="22"/>
      <c r="K37" s="22"/>
      <c r="L37" s="22"/>
      <c r="M37" s="22"/>
      <c r="N37" s="22"/>
      <c r="O37" s="22"/>
      <c r="P37" s="22"/>
      <c r="Q37" s="22"/>
      <c r="R37" s="22"/>
      <c r="S37" s="22"/>
      <c r="T37" s="22"/>
      <c r="U37" s="22"/>
      <c r="V37" s="44"/>
      <c r="W37" s="45" t="str">
        <f>'Pivots '!M68</f>
        <v>amount rank:5</v>
      </c>
      <c r="X37" s="45"/>
      <c r="Y37" s="34" t="str">
        <v>C0009</v>
      </c>
      <c r="Z37" s="32">
        <v>1415</v>
      </c>
      <c r="AA37" s="32">
        <v>1271</v>
      </c>
      <c r="AB37" s="32">
        <v>1214</v>
      </c>
      <c r="AC37" s="32">
        <v>1135</v>
      </c>
      <c r="AD37" s="32">
        <v>1566</v>
      </c>
      <c r="AE37" s="35">
        <v>6601</v>
      </c>
      <c r="AF37" s="22"/>
      <c r="AG37" s="22"/>
      <c r="AH37" s="22"/>
      <c r="AI37" s="22"/>
      <c r="AJ37" s="22"/>
      <c r="AK37" s="22"/>
      <c r="AL37" s="22"/>
      <c r="AM37" s="22"/>
      <c r="AN37" s="22"/>
      <c r="AO37" s="22"/>
      <c r="AP37" s="22"/>
      <c r="AQ37" s="22"/>
      <c r="AR37" s="22"/>
      <c r="AS37" s="22"/>
      <c r="AT37" s="22"/>
      <c r="AU37" s="22"/>
      <c r="AV37" s="22"/>
    </row>
    <row r="38" spans="1:48" x14ac:dyDescent="0.35">
      <c r="A38" s="22"/>
      <c r="B38" s="22"/>
      <c r="C38" s="22"/>
      <c r="D38" s="22"/>
      <c r="E38" s="22"/>
      <c r="F38" s="22"/>
      <c r="G38" s="22"/>
      <c r="H38" s="22"/>
      <c r="I38" s="22"/>
      <c r="J38" s="22"/>
      <c r="K38" s="22"/>
      <c r="L38" s="22"/>
      <c r="M38" s="22"/>
      <c r="N38" s="22"/>
      <c r="O38" s="22"/>
      <c r="P38" s="22"/>
      <c r="Q38" s="22"/>
      <c r="R38" s="22"/>
      <c r="S38" s="22"/>
      <c r="T38" s="22"/>
      <c r="U38" s="22"/>
      <c r="V38" s="22"/>
      <c r="W38" s="22"/>
      <c r="X38" s="22"/>
      <c r="Y38" s="36" t="str">
        <v>C0014</v>
      </c>
      <c r="Z38" s="37">
        <v>1362</v>
      </c>
      <c r="AA38" s="37">
        <v>1363</v>
      </c>
      <c r="AB38" s="37">
        <v>1152</v>
      </c>
      <c r="AC38" s="37">
        <v>777</v>
      </c>
      <c r="AD38" s="37">
        <v>750</v>
      </c>
      <c r="AE38" s="38">
        <v>5404</v>
      </c>
      <c r="AF38" s="22"/>
      <c r="AG38" s="22"/>
      <c r="AH38" s="22"/>
      <c r="AI38" s="22"/>
      <c r="AJ38" s="22"/>
      <c r="AK38" s="22"/>
      <c r="AL38" s="22"/>
      <c r="AM38" s="22"/>
      <c r="AN38" s="22"/>
      <c r="AO38" s="22"/>
      <c r="AP38" s="22"/>
      <c r="AQ38" s="22"/>
      <c r="AR38" s="22"/>
      <c r="AS38" s="22"/>
      <c r="AT38" s="22"/>
      <c r="AU38" s="22"/>
      <c r="AV38" s="22"/>
    </row>
    <row r="39" spans="1:48" x14ac:dyDescent="0.3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row>
    <row r="40" spans="1:48" x14ac:dyDescent="0.3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row>
    <row r="41" spans="1:48" x14ac:dyDescent="0.3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row>
    <row r="42" spans="1:48" x14ac:dyDescent="0.3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row>
    <row r="43" spans="1:48" x14ac:dyDescent="0.3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row>
    <row r="44" spans="1:48" x14ac:dyDescent="0.3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row>
    <row r="45" spans="1:48" x14ac:dyDescent="0.3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row>
    <row r="46" spans="1:48" x14ac:dyDescent="0.3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row>
    <row r="47" spans="1:48" x14ac:dyDescent="0.3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row>
    <row r="48" spans="1:48" x14ac:dyDescent="0.3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row>
    <row r="49" spans="1:48" x14ac:dyDescent="0.3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row>
    <row r="50" spans="1:48" x14ac:dyDescent="0.3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row>
    <row r="51" spans="1:48" x14ac:dyDescent="0.3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row>
    <row r="52" spans="1:48" x14ac:dyDescent="0.3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row>
    <row r="53" spans="1:48" x14ac:dyDescent="0.3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row>
    <row r="54" spans="1:48" x14ac:dyDescent="0.3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row>
    <row r="55" spans="1:48" x14ac:dyDescent="0.3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row>
    <row r="56" spans="1:48" x14ac:dyDescent="0.3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row>
    <row r="57" spans="1:48" x14ac:dyDescent="0.3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row>
    <row r="58" spans="1:48" x14ac:dyDescent="0.3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row>
    <row r="59" spans="1:48" x14ac:dyDescent="0.3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row>
    <row r="60" spans="1:48" x14ac:dyDescent="0.3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row>
    <row r="61" spans="1:48" x14ac:dyDescent="0.3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row>
    <row r="62" spans="1:48" x14ac:dyDescent="0.3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row>
    <row r="63" spans="1:48" x14ac:dyDescent="0.3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row>
    <row r="64" spans="1:48" x14ac:dyDescent="0.3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row>
    <row r="65" spans="1:48" x14ac:dyDescent="0.3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row>
    <row r="66" spans="1:48" x14ac:dyDescent="0.3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row>
    <row r="67" spans="1:48" x14ac:dyDescent="0.3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row>
    <row r="68" spans="1:48" x14ac:dyDescent="0.3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row>
    <row r="69" spans="1:48" x14ac:dyDescent="0.3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row>
    <row r="70" spans="1:48" x14ac:dyDescent="0.3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row>
    <row r="71" spans="1:48" x14ac:dyDescent="0.3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row>
    <row r="72" spans="1:48" x14ac:dyDescent="0.3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row>
    <row r="73" spans="1:48" x14ac:dyDescent="0.3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row>
    <row r="74" spans="1:48" x14ac:dyDescent="0.3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row>
    <row r="75" spans="1:48" x14ac:dyDescent="0.3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row>
    <row r="76" spans="1:48" x14ac:dyDescent="0.3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row>
    <row r="77" spans="1:48" x14ac:dyDescent="0.3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row>
    <row r="78" spans="1:48" x14ac:dyDescent="0.3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row>
    <row r="79" spans="1:48" x14ac:dyDescent="0.3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row>
    <row r="80" spans="1:48" x14ac:dyDescent="0.3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row>
  </sheetData>
  <mergeCells count="1">
    <mergeCell ref="W31:W34"/>
  </mergeCells>
  <conditionalFormatting sqref="Z22:AD38">
    <cfRule type="dataBar" priority="4">
      <dataBar>
        <cfvo type="num" val="0"/>
        <cfvo type="formula" val="MAX($Z$22:$AD$38)*2"/>
        <color theme="4" tint="-0.499984740745262"/>
      </dataBar>
      <extLst>
        <ext xmlns:x14="http://schemas.microsoft.com/office/spreadsheetml/2009/9/main" uri="{B025F937-C7B1-47D3-B67F-A62EFF666E3E}">
          <x14:id>{8549A1D6-5880-4577-99DF-12C0E8309CA1}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331FC42D-1105-4A0C-BBC8-40FE250257DD}">
            <xm:f>Z$20='Pivots '!$H$59</xm:f>
            <x14:dxf>
              <fill>
                <patternFill>
                  <bgColor theme="5" tint="0.59996337778862885"/>
                </patternFill>
              </fill>
              <border>
                <left style="thin">
                  <color auto="1"/>
                </left>
                <right style="thin">
                  <color auto="1"/>
                </right>
                <top style="thin">
                  <color auto="1"/>
                </top>
                <bottom style="thin">
                  <color auto="1"/>
                </bottom>
                <vertical/>
                <horizontal/>
              </border>
            </x14:dxf>
          </x14:cfRule>
          <x14:cfRule type="expression" priority="3" id="{B06F55F4-F9E8-427B-B8E5-B620709B787A}">
            <xm:f>Z$20='Pivots '!$H$59</xm:f>
            <x14:dxf/>
          </x14:cfRule>
          <xm:sqref>Z20</xm:sqref>
        </x14:conditionalFormatting>
        <x14:conditionalFormatting xmlns:xm="http://schemas.microsoft.com/office/excel/2006/main">
          <x14:cfRule type="expression" priority="1" id="{05C5179E-D9F4-465F-91AA-9542DC56F0BF}">
            <xm:f>Z$20='Pivots '!$H$59</xm:f>
            <x14:dxf>
              <fill>
                <patternFill>
                  <bgColor theme="5" tint="0.59996337778862885"/>
                </patternFill>
              </fill>
              <border>
                <left style="thin">
                  <color auto="1"/>
                </left>
                <right style="thin">
                  <color auto="1"/>
                </right>
                <top style="thin">
                  <color auto="1"/>
                </top>
                <bottom style="thin">
                  <color auto="1"/>
                </bottom>
                <vertical/>
                <horizontal/>
              </border>
            </x14:dxf>
          </x14:cfRule>
          <xm:sqref>Z20:AD38</xm:sqref>
        </x14:conditionalFormatting>
        <x14:conditionalFormatting xmlns:xm="http://schemas.microsoft.com/office/excel/2006/main">
          <x14:cfRule type="dataBar" id="{8549A1D6-5880-4577-99DF-12C0E8309CA1}">
            <x14:dataBar minLength="0" maxLength="100" gradient="0">
              <x14:cfvo type="num">
                <xm:f>0</xm:f>
              </x14:cfvo>
              <x14:cfvo type="formula">
                <xm:f>MAX($Z$22:$AD$38)*2</xm:f>
              </x14:cfvo>
              <x14:negativeFillColor rgb="FFFF0000"/>
              <x14:axisColor rgb="FF000000"/>
            </x14:dataBar>
          </x14:cfRule>
          <xm:sqref>Z22:AD38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Data</vt:lpstr>
      <vt:lpstr>Pivots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hera aleem</cp:lastModifiedBy>
  <dcterms:created xsi:type="dcterms:W3CDTF">2021-03-14T20:21:32Z</dcterms:created>
  <dcterms:modified xsi:type="dcterms:W3CDTF">2026-05-02T05:33:40Z</dcterms:modified>
</cp:coreProperties>
</file>